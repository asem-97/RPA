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bookViews>
    <workbookView xWindow="0" yWindow="0" windowWidth="21570" windowHeight="7980" tabRatio="604"/>
  </bookViews>
  <sheets>
    <sheet name="Form" sheetId="1" r:id="rId1"/>
    <sheet name="Outputs" sheetId="5" r:id="rId2"/>
    <sheet name="Definitions " sheetId="3" r:id="rId3"/>
    <sheet name="Suppliers" sheetId="4" r:id="rId4"/>
    <sheet name="values" sheetId="2" state="hidden" r:id="rId5"/>
  </sheets>
  <definedNames>
    <definedName name="action_type">t_action_type[action_type]</definedName>
    <definedName name="activities">t_activities[activities]</definedName>
    <definedName name="activities_years_lookup">values!$AC$3:$AE$99</definedName>
    <definedName name="agreement_type">t_agreement_type[agreement_type]</definedName>
    <definedName name="am_pm">t_am_pm[am_pm]</definedName>
    <definedName name="beneficiaries">t_beneficiaries[beneficiaries]</definedName>
    <definedName name="bids_opening_location">t_bids_opening_location[bids_opening_location]</definedName>
    <definedName name="construction_works">t_construction_works[construction_works]</definedName>
    <definedName name="countries">t_countries[countries]</definedName>
    <definedName name="day">t_day[day]</definedName>
    <definedName name="direct_purchase_committee">t_direct_purchase_committee[direct_purchase_committee]</definedName>
    <definedName name="documents">t_documents[documents]</definedName>
    <definedName name="execution_location">t_execution_location[execution_location]</definedName>
    <definedName name="floar_number">t_floar_number[floar_number]</definedName>
    <definedName name="hour">t_hour[hour]</definedName>
    <definedName name="initial_bank_guarantee">t_initial_bank_guarantee[initial_bank_guarantee]</definedName>
    <definedName name="invitation_type">t_invitation_type[invitation_type]</definedName>
    <definedName name="local_content_mechanism">t_local_content_mechanism[local_content_mechanism]</definedName>
    <definedName name="minute">t_minute[minute]</definedName>
    <definedName name="month">t_month[month]</definedName>
    <definedName name="operation_maintenance_works">t_operation_maintenance_works[operation_maintenance_works]</definedName>
    <definedName name="pre_qualification">t_pre_qualification[pre_qualification]</definedName>
    <definedName name="purchase_committee_members">t_purchase_committee_members[purchase_committee_members]</definedName>
    <definedName name="states">t_states[states]</definedName>
    <definedName name="technical_committee">t_technical_committee[technical_committee]</definedName>
    <definedName name="template_years">t_template_years[template_years]</definedName>
    <definedName name="tender_check_committee">t_tender_check_committee[tender_check_committee]</definedName>
    <definedName name="tender_opening_committee">t_tender_opening_committee[tender_opening_committee]</definedName>
    <definedName name="tender_submission_method">t_tender_submission_method[tender_submission_method]</definedName>
    <definedName name="tender_type">t_tender_type[tender_type]</definedName>
    <definedName name="tender_type_reason_direct">t_tender_type_reason_direct[tender_type_reason_direct]</definedName>
    <definedName name="tender_type_reason_limited">t_tender_type_reason_limited[tender_type_reason_limited]</definedName>
    <definedName name="year">t_year[year]</definedName>
    <definedName name="yes_no">t_yes_no[yes_no]</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56" i="1" l="1"/>
  <c r="J55" i="1"/>
  <c r="K41" i="1" l="1"/>
  <c r="K97" i="1" l="1"/>
  <c r="K70" i="1"/>
  <c r="J65" i="1"/>
  <c r="J64" i="1"/>
  <c r="J63" i="1" l="1"/>
  <c r="J62" i="1"/>
  <c r="AE2" i="2" l="1"/>
  <c r="AE3" i="2"/>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J50" i="1" l="1"/>
  <c r="J49" i="1"/>
  <c r="J61" i="1"/>
  <c r="J59" i="1"/>
  <c r="J58" i="1"/>
  <c r="J60" i="1"/>
  <c r="J57" i="1"/>
  <c r="K33" i="1" l="1"/>
  <c r="N16" i="1"/>
  <c r="M16" i="1"/>
  <c r="K93" i="1"/>
  <c r="K69" i="1"/>
  <c r="K16" i="1" l="1"/>
  <c r="Q24" i="1"/>
  <c r="K28" i="1"/>
  <c r="P25" i="1"/>
  <c r="K27" i="1"/>
  <c r="K26" i="1"/>
  <c r="K20" i="1"/>
  <c r="N21" i="1" s="1"/>
  <c r="K35" i="1"/>
  <c r="K15" i="1"/>
  <c r="X25" i="1"/>
  <c r="W25" i="1"/>
  <c r="T25" i="1"/>
  <c r="V25" i="1"/>
  <c r="K34" i="1" l="1"/>
  <c r="K46" i="1"/>
  <c r="K47" i="1"/>
  <c r="K48" i="1"/>
  <c r="K49" i="1"/>
  <c r="K50" i="1"/>
  <c r="K23" i="1" l="1"/>
  <c r="K45" i="1"/>
  <c r="K30" i="1"/>
  <c r="K29" i="1"/>
  <c r="K14" i="1"/>
  <c r="K13" i="1"/>
  <c r="K12" i="1"/>
  <c r="K17" i="1" l="1"/>
  <c r="K22" i="1"/>
  <c r="K32" i="1"/>
  <c r="K31" i="1"/>
  <c r="K21" i="1"/>
  <c r="K25" i="1"/>
  <c r="K19" i="1"/>
  <c r="K24" i="1"/>
  <c r="K18" i="1"/>
  <c r="K85" i="1"/>
  <c r="K42" i="1" l="1"/>
</calcChain>
</file>

<file path=xl/sharedStrings.xml><?xml version="1.0" encoding="utf-8"?>
<sst xmlns="http://schemas.openxmlformats.org/spreadsheetml/2006/main" count="2174" uniqueCount="1878">
  <si>
    <t>الحقل</t>
  </si>
  <si>
    <t>القيمة</t>
  </si>
  <si>
    <t>اسم المنافسة</t>
  </si>
  <si>
    <t>نوع المنافسة</t>
  </si>
  <si>
    <t>رقم المنافسة الخاص بالجهة</t>
  </si>
  <si>
    <t>قيمة وثائق المنافسة</t>
  </si>
  <si>
    <t>مربوط بتأهيل مسبق</t>
  </si>
  <si>
    <t>طريقة تقديم العروض</t>
  </si>
  <si>
    <t>الغرض من المنافسة</t>
  </si>
  <si>
    <t>القيمة التقديرية</t>
  </si>
  <si>
    <t>منافسة عامة</t>
  </si>
  <si>
    <t>شراء مباشر</t>
  </si>
  <si>
    <t>منافسة محدودة</t>
  </si>
  <si>
    <t>المنافسة على مرحلتين (المرحلة الاولى)</t>
  </si>
  <si>
    <t>منافسة اتفاقية اطارية</t>
  </si>
  <si>
    <t>مسابقة</t>
  </si>
  <si>
    <t>اسم الجهة الفنية</t>
  </si>
  <si>
    <t>اسم لجنة فتح العروض</t>
  </si>
  <si>
    <t>لجنة فحص العروض</t>
  </si>
  <si>
    <t>أعمال ومشتريات الأسلحة والمعدات العسكرية وقطع غيارها</t>
  </si>
  <si>
    <t>الأعمال والمشتريات متوافرة لدى متعهد أو مقاول أو مورد واحد. ولم يكن لها بديل مقبول</t>
  </si>
  <si>
    <t>التكلفة التقديرية للأعمال والمشتريات لا تتجاوز مبلغ مائة ألف ريال</t>
  </si>
  <si>
    <t>استخدام هذا الأسلوب ضروري لحماية مصالح الأمن الوطني</t>
  </si>
  <si>
    <t>الإعلان المسبق</t>
  </si>
  <si>
    <t>نوع الدعوة</t>
  </si>
  <si>
    <t>إختر لجنة الشراء المباشر</t>
  </si>
  <si>
    <t>أعمال ومشتريات متوفرة لدى كيان غير ربحي واحد</t>
  </si>
  <si>
    <t>حالة طارئة</t>
  </si>
  <si>
    <t>أخرى</t>
  </si>
  <si>
    <t>Visible</t>
  </si>
  <si>
    <t>ملاحظات</t>
  </si>
  <si>
    <t>الضمان البنكي الإبتدائي</t>
  </si>
  <si>
    <t>لا يوجد ضمان</t>
  </si>
  <si>
    <t>نسبة الضمان الإبتدائي</t>
  </si>
  <si>
    <t>(أكبر من أو يساوي 1% وأقل من أو يساوي 2%)</t>
  </si>
  <si>
    <t>مطلوب</t>
  </si>
  <si>
    <t>نعم</t>
  </si>
  <si>
    <t>1) المعلومات الأساسية</t>
  </si>
  <si>
    <t>2) العناوين والمواعيد المتعلقة بالمنافسة</t>
  </si>
  <si>
    <t>عنوان تقديم الضمان الاإبتدائي</t>
  </si>
  <si>
    <t>بحاجة لتسليم عينات للمورد</t>
  </si>
  <si>
    <t>لا</t>
  </si>
  <si>
    <t>مكان فتح العروض</t>
  </si>
  <si>
    <t>المراسم الملكية - الرياض</t>
  </si>
  <si>
    <t>اخر موعد لإستلام الاستفسارات</t>
  </si>
  <si>
    <t>يوم</t>
  </si>
  <si>
    <t>شهر</t>
  </si>
  <si>
    <t>سنة</t>
  </si>
  <si>
    <t>التاريخ الميلادي</t>
  </si>
  <si>
    <t>آخر موعد لتقديم العروض</t>
  </si>
  <si>
    <t>آخر وقت لتقديم العروض</t>
  </si>
  <si>
    <t>تاريخ فتح العروض</t>
  </si>
  <si>
    <t>وقت فتح العروض</t>
  </si>
  <si>
    <t>دقيقة</t>
  </si>
  <si>
    <t>ساعة</t>
  </si>
  <si>
    <t>AM|PM</t>
  </si>
  <si>
    <t>AM</t>
  </si>
  <si>
    <t>PM</t>
  </si>
  <si>
    <t>3) مجال التصنيف وموقع التنفيذ والتقديم</t>
  </si>
  <si>
    <t>مكان التنفيذ</t>
  </si>
  <si>
    <t>داخل المملكة</t>
  </si>
  <si>
    <t>خارج المملكة</t>
  </si>
  <si>
    <t>المناطق</t>
  </si>
  <si>
    <t>منطقة الرياض</t>
  </si>
  <si>
    <t>منطقة مكة المكرمة</t>
  </si>
  <si>
    <t>المنطقة الشرقية</t>
  </si>
  <si>
    <t>منطقة عسير</t>
  </si>
  <si>
    <t>منطقة تبوك</t>
  </si>
  <si>
    <t>منطقة حائل</t>
  </si>
  <si>
    <t>التفاصيل</t>
  </si>
  <si>
    <t>مجال التصنيف: أعمال الإنشاء</t>
  </si>
  <si>
    <t>مجال التصنيف: أعمال الصيانة والتشغيل</t>
  </si>
  <si>
    <t>نشاط المنافسة: الأنشطة</t>
  </si>
  <si>
    <t>وصف النشاط</t>
  </si>
  <si>
    <t>تجارة المواد الغذائية</t>
  </si>
  <si>
    <t>تجارة الحاصلات الزراعية</t>
  </si>
  <si>
    <t>تجارة المواشي والدواجن والأسماك ومنتجاتها</t>
  </si>
  <si>
    <t>تجارة الملابس والأقمشة والعطور والساعات وأدوات التجميل والنظارات</t>
  </si>
  <si>
    <t>تجارة الكماليات</t>
  </si>
  <si>
    <t>تجارة الأواني والأدوات المنزلية</t>
  </si>
  <si>
    <t>4) جداول الكميات</t>
  </si>
  <si>
    <t>5) ملفات المنافسة</t>
  </si>
  <si>
    <t>المقدمة والأحكام العامة</t>
  </si>
  <si>
    <t>تعريف عن المنافسة</t>
  </si>
  <si>
    <t>يتم تعريف وتحديد الغرض من الكراسة ويمكن للجهة إضافة أي مقدمات أو شرح عنها أو عن المشروع كما تراه مناسباً.</t>
  </si>
  <si>
    <t>اخفاء قسم السجلات والتراخيص النظامية</t>
  </si>
  <si>
    <t>السجلات والتراخيص النظامية</t>
  </si>
  <si>
    <t>السجل التجاري</t>
  </si>
  <si>
    <t>تصنيف المقاولين</t>
  </si>
  <si>
    <t>شهادة الزكاة</t>
  </si>
  <si>
    <t>شهادة الضريبة</t>
  </si>
  <si>
    <t>التأمينات الاجتماعية</t>
  </si>
  <si>
    <t>شهادة اشتراك الغرفة التجارية</t>
  </si>
  <si>
    <t>رخصة الاستثمار</t>
  </si>
  <si>
    <t>شهادة السعودة</t>
  </si>
  <si>
    <t>رخصة البلدية</t>
  </si>
  <si>
    <t>اختيار متعدد</t>
  </si>
  <si>
    <t>معلومات ممثل الجهة: الإسم</t>
  </si>
  <si>
    <t>معلومات ممثل الجهة: رقم الهاتف</t>
  </si>
  <si>
    <t>معلومات ممثل الجهة: رقم الفاكس</t>
  </si>
  <si>
    <t>معلومات ممثل الجهة: الوظيفة</t>
  </si>
  <si>
    <t>معلومات ممثل الجهة: البريد الالكتروني</t>
  </si>
  <si>
    <t>تعريف الجهة</t>
  </si>
  <si>
    <t>إعداد العروض</t>
  </si>
  <si>
    <t>إخفاء قسم المشاركة بالمنافسة</t>
  </si>
  <si>
    <t>تأكيد المشاركة بالمنافسة</t>
  </si>
  <si>
    <t>يحق للجهة إلغاء هذه المادة إذا كانت الشروط محققة عند شراء الكراسة.</t>
  </si>
  <si>
    <t>أقصى مدة للإجابة على الإستفسارات (أيام)</t>
  </si>
  <si>
    <t>البريد الالكتروني البديل للتواصل</t>
  </si>
  <si>
    <t>قائمة الوثائق الفنية</t>
  </si>
  <si>
    <t>قائمة الوثائق المالية</t>
  </si>
  <si>
    <t>على الجهة تحديد وثائق العرض الفني المطلوبة</t>
  </si>
  <si>
    <t>على الجهة تحديد وثائق العرض المالي المطلوبة</t>
  </si>
  <si>
    <t>متطلبات التنسيق</t>
  </si>
  <si>
    <t>لا تزيد عن 10 أيام</t>
  </si>
  <si>
    <t>الفترة المسموحة لتوقيع العقود (أيام)</t>
  </si>
  <si>
    <t>كتابة الأسعار</t>
  </si>
  <si>
    <t>يحق للجهة حذف أو تعديل هذا الجزء من الفقرة</t>
  </si>
  <si>
    <t>لا يجوز لمقدم العرض ترك أي بند من بنود المنافسة دون تسعير إلا إذا أجازت شروط المنافسة ذلك</t>
  </si>
  <si>
    <t>التعريفات الفنية</t>
  </si>
  <si>
    <t>نطاق عمل المشروع</t>
  </si>
  <si>
    <t>في هذا البند يتم توضيح نطاق العمل الخاص بالمشروع والتفاصيل التي يجب مراعاتها عند تقديم الخدمة من المتعاقد.</t>
  </si>
  <si>
    <t>برنامج العمل</t>
  </si>
  <si>
    <t>المواصفات والشروط المطلوبة</t>
  </si>
  <si>
    <t>الشروط الخاصة بالمواد</t>
  </si>
  <si>
    <t>الشروط الخاصة بالمعدات</t>
  </si>
  <si>
    <t>طريقة تنفيذ الأعمال والخدمات</t>
  </si>
  <si>
    <t>مواصفات الجودة</t>
  </si>
  <si>
    <t>مواصفات السلامة</t>
  </si>
  <si>
    <t>الشروط الخاصة</t>
  </si>
  <si>
    <t>الملحقات</t>
  </si>
  <si>
    <t>ملفات داعمة</t>
  </si>
  <si>
    <t>تضيف الجهة الشروط الخاصة التي تراها مناسبة بحسب نطاق العمل</t>
  </si>
  <si>
    <t>يرجى إرفاق الملفات الصحيحة بحيث أن محتوى الملفات سوف يظهر لعامة المستخدمين. في حال إرفاق الشروط الخاصة سيتم حذفها تلقائياً من النظام.</t>
  </si>
  <si>
    <t xml:space="preserve">منطقة المدينة المنورة </t>
  </si>
  <si>
    <t xml:space="preserve">منطقة القصيم </t>
  </si>
  <si>
    <t>منطقة الحدود الشمالية</t>
  </si>
  <si>
    <t>منطقة جازان</t>
  </si>
  <si>
    <t>منطقة نجران</t>
  </si>
  <si>
    <t>منطقة الباحة</t>
  </si>
  <si>
    <t>منطقة الجوف</t>
  </si>
  <si>
    <t>آبار أنبوبية</t>
  </si>
  <si>
    <t>حفر الآبار</t>
  </si>
  <si>
    <t>آبار يدوية</t>
  </si>
  <si>
    <t>الحـــدائق</t>
  </si>
  <si>
    <t>تنظيــم المواقــع</t>
  </si>
  <si>
    <t>شبكات الري للحدائق</t>
  </si>
  <si>
    <t>تشجيــر الحدائق وتنظيم المواقـع</t>
  </si>
  <si>
    <t>المنتزهـات العـامة</t>
  </si>
  <si>
    <t>تشجير الشــوارع</t>
  </si>
  <si>
    <t>توريد وتركيب أجهزة ومعدات الحاسب الآلي (حاسبات وشبكات وملحقات)</t>
  </si>
  <si>
    <t>المعدات الإلكترونية الطبية / المختبرية</t>
  </si>
  <si>
    <t xml:space="preserve"> نظام التحكم بسير الإنتاج</t>
  </si>
  <si>
    <t>نظام الرسائل المرئي والصوتي</t>
  </si>
  <si>
    <t>الأعمال الالكترونية</t>
  </si>
  <si>
    <t>معدات استوديوهات المرئيات والسمعيات</t>
  </si>
  <si>
    <t>نظام المراقبة والأمن والسلامة</t>
  </si>
  <si>
    <t>الســـــدود</t>
  </si>
  <si>
    <t>الســــدود الخرسانية</t>
  </si>
  <si>
    <t>الســــدود الترابية</t>
  </si>
  <si>
    <t>المسالخ</t>
  </si>
  <si>
    <t xml:space="preserve"> مســالخ عـاديـة</t>
  </si>
  <si>
    <t>مســالخ آليـة</t>
  </si>
  <si>
    <t>حفر ودق الركائز</t>
  </si>
  <si>
    <t xml:space="preserve"> الحواجـز / الجسور / الطرق البحرية</t>
  </si>
  <si>
    <t xml:space="preserve"> أحواض إصالح السفن</t>
  </si>
  <si>
    <t xml:space="preserve"> الأعمال البحــريـة</t>
  </si>
  <si>
    <t>الرصفة البحرية</t>
  </si>
  <si>
    <t>المـراسي</t>
  </si>
  <si>
    <t xml:space="preserve"> أعمال التعميق والتنظيف</t>
  </si>
  <si>
    <t>الطــــرق</t>
  </si>
  <si>
    <t>السكك الحديدية</t>
  </si>
  <si>
    <t>السفلته</t>
  </si>
  <si>
    <t xml:space="preserve">  إنشاء الطرق وتشمل (الأعمال الترابية الردم والتسوية والدك)</t>
  </si>
  <si>
    <t>مدارج الطائرات</t>
  </si>
  <si>
    <t>الجسور</t>
  </si>
  <si>
    <t>الأنفاق</t>
  </si>
  <si>
    <t xml:space="preserve">صوامع الغلال </t>
  </si>
  <si>
    <t>نظـام التسخين الميكانيكي</t>
  </si>
  <si>
    <t>محطات تنقية المياه / محطات تنقية الصرف الصحي</t>
  </si>
  <si>
    <t xml:space="preserve"> التوربينات / الغاليات البخـارية</t>
  </si>
  <si>
    <t>محطات ضخ المياه والصرف الصحي</t>
  </si>
  <si>
    <t>الأعمال الميكانيكية</t>
  </si>
  <si>
    <t>محطـات توليد الطاقـة</t>
  </si>
  <si>
    <t>نظــام التهـوية</t>
  </si>
  <si>
    <t xml:space="preserve"> نظام التكييف المركزي</t>
  </si>
  <si>
    <t>شبكات مداولة الشحنات السـائبة</t>
  </si>
  <si>
    <t>المصـاعد / السلالم المتحركة</t>
  </si>
  <si>
    <t xml:space="preserve"> أرصفة الحاويات</t>
  </si>
  <si>
    <t>أنظمة مكافحة الحرائق</t>
  </si>
  <si>
    <t xml:space="preserve"> نظام السيور الناقلــة</t>
  </si>
  <si>
    <t xml:space="preserve"> نظام التــبريد</t>
  </si>
  <si>
    <t>حاويات الغاز</t>
  </si>
  <si>
    <t xml:space="preserve"> بناء وإصالح السفن</t>
  </si>
  <si>
    <t>الصوامع</t>
  </si>
  <si>
    <t>المصانع</t>
  </si>
  <si>
    <t>محارق النفايات</t>
  </si>
  <si>
    <t>الأعمال الصنــاعية</t>
  </si>
  <si>
    <t>مطاحن الدقيق</t>
  </si>
  <si>
    <t xml:space="preserve"> شبكات أنابيب البترول والغاز</t>
  </si>
  <si>
    <t>المناجم والصناعات التعدينية</t>
  </si>
  <si>
    <t xml:space="preserve"> محطات تحلية المياه</t>
  </si>
  <si>
    <t xml:space="preserve"> المباني الفولاذية (الحديدية)</t>
  </si>
  <si>
    <t>المباني سابقة الصب</t>
  </si>
  <si>
    <t>المباني الخرسانية</t>
  </si>
  <si>
    <t>المبـــاني</t>
  </si>
  <si>
    <t>محطات توليد الطــاقة</t>
  </si>
  <si>
    <t>إدارة الشوارع</t>
  </si>
  <si>
    <t>محطات الطاقة الشمسية</t>
  </si>
  <si>
    <t xml:space="preserve"> الحماية الكاثودية</t>
  </si>
  <si>
    <t>وحدات الطاقة غير المنقطعة</t>
  </si>
  <si>
    <t>نقل وتوزيع الطاقة</t>
  </si>
  <si>
    <t>محطات تحويل الطاقة</t>
  </si>
  <si>
    <t>إشارات المرور الضوئية</t>
  </si>
  <si>
    <t xml:space="preserve"> محطات ضخ المياه والصرف الصحي</t>
  </si>
  <si>
    <t>محطات تنقية الميـاه والصرف الصحي</t>
  </si>
  <si>
    <t>خزانات المياه</t>
  </si>
  <si>
    <t>أعمال المياه والصرف الصحي</t>
  </si>
  <si>
    <t>شبكات تصريف السيول</t>
  </si>
  <si>
    <t>شبكات المياه والصرف الصحي</t>
  </si>
  <si>
    <t>مشاريع الري والصرف</t>
  </si>
  <si>
    <t>تقنية الاتصالات</t>
  </si>
  <si>
    <t>قدرات الشبكة الأساسية</t>
  </si>
  <si>
    <t>خدمات اتصالات معززة</t>
  </si>
  <si>
    <t>خدمات الإنترنت</t>
  </si>
  <si>
    <t>اتصالات هاتفية محلية وبعيدة</t>
  </si>
  <si>
    <t xml:space="preserve"> خدمات اتصالات باستخدام الألياف</t>
  </si>
  <si>
    <t>تطوير النظم والتطبيقات وقواعد البيانات</t>
  </si>
  <si>
    <t>خدمات وصول العملاء</t>
  </si>
  <si>
    <t>خدمات اتصالات باستخدام دوائر الطلب الهاتفي والخطوط المخصصة</t>
  </si>
  <si>
    <t>خدمات اتصالات خلوية</t>
  </si>
  <si>
    <t xml:space="preserve"> صيانة وتشغيل المسالخ</t>
  </si>
  <si>
    <t>صيانة وتشغيل أعمال المياه والصرف الصحي</t>
  </si>
  <si>
    <t>حفر الأبار</t>
  </si>
  <si>
    <t>صيانة وتشغيل الأعمال الصناعية</t>
  </si>
  <si>
    <t>تخديم وتأمين التغذية للمراكز الطبية</t>
  </si>
  <si>
    <t xml:space="preserve"> نظافة المدن والتخلص من مقالب النفايات وردمها </t>
  </si>
  <si>
    <t xml:space="preserve"> صيانة السدود</t>
  </si>
  <si>
    <t>صيانة وتشغيل الأعمال البحرية</t>
  </si>
  <si>
    <t>صيانة تقنية الاتصالات</t>
  </si>
  <si>
    <t>صيــانة الحدائق والمنتزهـات</t>
  </si>
  <si>
    <t>صيانة الطرق</t>
  </si>
  <si>
    <t>صيانة وتشغيل الأعمال الميكانيكيـة</t>
  </si>
  <si>
    <t>صيانة المباني</t>
  </si>
  <si>
    <t>تخديم و تأمين الإعاشة للأفراد</t>
  </si>
  <si>
    <t>صيانة المـراكـز الطبيــة</t>
  </si>
  <si>
    <t>صيانة وتشغيل الأعمال الاكترونية</t>
  </si>
  <si>
    <t>صيانة وتشغيل الأعمال الكهربائية</t>
  </si>
  <si>
    <t xml:space="preserve"> صيانة وتشغيل تقنية الاتصالات</t>
  </si>
  <si>
    <t>تجارة الأثاث المنزلي والمفروشات والستائر والسجاد</t>
  </si>
  <si>
    <t>تجارة الأدوات والآلات والأجهزة</t>
  </si>
  <si>
    <t>تجارة مواد البناء والأدوات الكهربائية والصحية</t>
  </si>
  <si>
    <t xml:space="preserve">تجارة السيارات والمعدات والماكينات </t>
  </si>
  <si>
    <t xml:space="preserve">تجارة قطع الغيار الجديدة </t>
  </si>
  <si>
    <t>تجارة قطع الغيار المستعملة والسكراب</t>
  </si>
  <si>
    <t>تجارة الفحم والحطب</t>
  </si>
  <si>
    <t xml:space="preserve">تجارة المواد الكيماوية </t>
  </si>
  <si>
    <t>تجارة الدراجات بأنواعها والألعاب</t>
  </si>
  <si>
    <t>مستودعات الادوية والصيدليات</t>
  </si>
  <si>
    <t>تجارة المعادن الثمينة والأحجار الكريمة</t>
  </si>
  <si>
    <t>مقاولات الإنشاءات العامة (التشييد و بناء المرافق العامة)</t>
  </si>
  <si>
    <t>مقاولات عامة للمباني (الانشاء، الإصلاح، الهدم، الترميم)</t>
  </si>
  <si>
    <t>مقاولات فرعية تخصصية (أنشطة التشييد المتخصصة)</t>
  </si>
  <si>
    <t>التشغيل والصيانة والنظافة للمنشآت</t>
  </si>
  <si>
    <t>بيع وشراء الأراضي والعقارات</t>
  </si>
  <si>
    <t>صُنع المنتجات الغذائية</t>
  </si>
  <si>
    <t>صُنع المشروبات</t>
  </si>
  <si>
    <t>صُنع منتجات التبغ</t>
  </si>
  <si>
    <t>صُنع المنسوجات</t>
  </si>
  <si>
    <t>صُنع الملبوسات</t>
  </si>
  <si>
    <t>صُنع المنتجات الجلدية والمنتجات ذات الصلة</t>
  </si>
  <si>
    <t>صُنع الخشب ومنتجاته والفلين ، باستثناء الأثاث</t>
  </si>
  <si>
    <t>صُنع الورق ومنتجاته</t>
  </si>
  <si>
    <t xml:space="preserve">صُنع فحم الكوك والمنتجات النفطية المكررة </t>
  </si>
  <si>
    <t>صُنع المواد الكيميائية والمنتجات الكيميائية</t>
  </si>
  <si>
    <t>صُنع المنتجات الصيدلانية الأساسية والمستحضرات الصيدلانية</t>
  </si>
  <si>
    <t>صُنع منتجات المطاط واللدائن</t>
  </si>
  <si>
    <t>صُنع منتجات المعادن اللافلزية الأخرى</t>
  </si>
  <si>
    <t>صُنع الفلّزات القاعدية</t>
  </si>
  <si>
    <t>صُنع منتجات المعادن المشكّلة ، باستثناء الآلات والمعدات</t>
  </si>
  <si>
    <t>صُنع الحواسيب والمنتجات الإلكترونية والبصرية</t>
  </si>
  <si>
    <t>صُنع المعدات الكهربائية</t>
  </si>
  <si>
    <t>صُنع الآلات والمعدات غير المصنّفة في موضع آخر</t>
  </si>
  <si>
    <t>صُنع المركبات ذات المحرّكات والمركبات المقطورة ونصف المقطورة</t>
  </si>
  <si>
    <t>صُنع معدات النقل الأخرى</t>
  </si>
  <si>
    <t xml:space="preserve">صُنع الأثاث </t>
  </si>
  <si>
    <t>الصناعة التحويلية الأخرى</t>
  </si>
  <si>
    <t>أنشطة التدوير وجمع النفايات ومعالجتها وتصريفها واسترجاع المواد</t>
  </si>
  <si>
    <t>التعدين</t>
  </si>
  <si>
    <t>إمدادات الكهرباء والغاز والمياه والبخار وتكييف الهواء</t>
  </si>
  <si>
    <t>المناجم والمحاجر</t>
  </si>
  <si>
    <t>البترول</t>
  </si>
  <si>
    <t>خدمات النشر والطباعة والدعاية والاعلان والإنتاج الفني</t>
  </si>
  <si>
    <t>الإتصالات</t>
  </si>
  <si>
    <t>تقنية المعلومات</t>
  </si>
  <si>
    <t>أنشطة زراعية</t>
  </si>
  <si>
    <t>الصيد</t>
  </si>
  <si>
    <t>أنشطة بيطرية</t>
  </si>
  <si>
    <t>الأنشطة الطبية</t>
  </si>
  <si>
    <t>أنشطة النقاهة</t>
  </si>
  <si>
    <t>أنشطة التعليم</t>
  </si>
  <si>
    <t xml:space="preserve">أنشطة التدريب </t>
  </si>
  <si>
    <t>التوظيف</t>
  </si>
  <si>
    <t>الاستقدام</t>
  </si>
  <si>
    <t>أنشطة الأمن و السلامة</t>
  </si>
  <si>
    <t>انشطة النقل والتخزين</t>
  </si>
  <si>
    <t>أنشطة البريد</t>
  </si>
  <si>
    <t>انشطة الاستشارات القانونية</t>
  </si>
  <si>
    <t>انشطة الاستشارات المالية</t>
  </si>
  <si>
    <t>انشطة الاستشارات الادارية</t>
  </si>
  <si>
    <t>انشطة الاستشارات الهندسية</t>
  </si>
  <si>
    <t>انشطة الاستشارات و الترجمة</t>
  </si>
  <si>
    <t>انشطة الاستشارات الامنية</t>
  </si>
  <si>
    <t>انشطة الاستشارات الأمنية</t>
  </si>
  <si>
    <t>الأنشطة الاستشارية الأخرى</t>
  </si>
  <si>
    <t>أنشطة المعارض والمؤتمرات</t>
  </si>
  <si>
    <t>أنشطة الايواء</t>
  </si>
  <si>
    <t>أنشطة المطاعم وخدمات التموين</t>
  </si>
  <si>
    <t>أنشطة سياحية</t>
  </si>
  <si>
    <t>المالية والتمويل</t>
  </si>
  <si>
    <t>انشطة التأمين</t>
  </si>
  <si>
    <t>خدمات صيانة وإصلاح الطائرات</t>
  </si>
  <si>
    <t>خدمات التأجير</t>
  </si>
  <si>
    <t>خدمات عامة (تعقيب المعاملات)</t>
  </si>
  <si>
    <t>خدمات الحلاقة للرجال والأطفال</t>
  </si>
  <si>
    <t>خدمات غسيل الملابس والمفروشات والمنسوجات ومستلزماتها</t>
  </si>
  <si>
    <t>خدمات التخليص الجمركي</t>
  </si>
  <si>
    <t>الخدمات التجارية و الإدارية</t>
  </si>
  <si>
    <t>خدمات  الخياطة و صالونات العناية الشخصية و التزيين</t>
  </si>
  <si>
    <t>خدمات صيانة وإصلاح المركبات</t>
  </si>
  <si>
    <t>خدمات صيانة واصلاح الأجهزة والمعدات والآلات</t>
  </si>
  <si>
    <t>خدمات تنجيد الأثاث</t>
  </si>
  <si>
    <t xml:space="preserve">خدمات صيانة واصلاح المنتجات المعدنية والحاويات والصهاريج </t>
  </si>
  <si>
    <t>الخدمات الاجتماعية</t>
  </si>
  <si>
    <t xml:space="preserve">الخدمات الرياضية </t>
  </si>
  <si>
    <t>الخدمات البيئية</t>
  </si>
  <si>
    <t>خدمات الموانئ</t>
  </si>
  <si>
    <t>خدمات محطات الوقود وخدمات المركبات الأخرى</t>
  </si>
  <si>
    <t>1 يقوم المتعاقد المواد المستخدمة في تنفيذ الأعمال للتأكد من مطابقتها لمواصفات العرض والمقاييس العالمية كما يطلع على نتائج الاختبارات المعمولة للمواد وإعطاء الموافقة (أو عدمها) عليها وتسجيلها والاحتفاظ بنسخة منها، ويجب كذلك أن  تكون المواد المستخدمة سواء المحلية أو المستوردة لتنفيذ العقد مطابقة للمواصفات القياسية السعودية وما لم تشمله منها هذه المواصفات فيجب أن يكون مطابقة لإحدى المواصفات العالمية المعروفة والتي تحددها الجهة أو من يمثلها.
2 ويجوز لممثل الجهة أن يأمر المتعاقد بإعداد بيان واضح ومفصل عن ماهية المواد المستخدمة وعن كل مادة على حدة يرى ممثل الجهة ضرورة استبيانها، وعلى المتعاقد إعداد ذلك البيان كتابةً خلال فترة (10) عشرة أيام من تاريخ طلبها. 
3 وإذا أخل المتعاقد بتوضيح ماهية المواد المستخدمة في الموعد المحدد فتعتبر تلك المواد خلاف ما تم الاتفاق عليه بالعقد، ولممثل الجهة اتخاذ ما يلزم حسب تقديره من تعليمات أو جزاءات لمعالجة ذلك.</t>
  </si>
  <si>
    <t>ويفحص المتعاقد جميع المعدات ويوصي باعتمادها في حال كانت مطابقة من جميع النواحي للمواصفات والمقاييس العالمية كما يجب عليه فحص جميع شهادات اختبار هذه المعدات التي أجريت في المصنع ومراقبة وتصديق اختباراتها في الموقع أو مكان الصنع وفي جميع الحالات التي تنص فيها شروط توريد المعدات أو المقاييس العالمية على إجراء هذه الاختبارات كما يجب عليه أن يحتفظ بشهادات الاختبارات التي تجري بهذا الخصوص.</t>
  </si>
  <si>
    <t>في هذه البند تقوم الجهة بتوضيح جميع شروط ومواصفات الجودة المطلوبة من المتعاقد من شهادات ومعايير محددة مثل ISO وغيرها.</t>
  </si>
  <si>
    <t>يتم في هذا البند توضيح:
أ. الخدمة التي سيتم عملها من قبل المتعاقد.
ب. التفاصيل المتعلقة بالخدمة التي سيتم تنفيذها من قبل المتعاقد.
ج. المواد التي سيتم استعمالها في الخدمة.
د. القياسات المتعلقة بالمواد التي سيتم استعمالها في تنفيذ الخدمة.
ه. تفاصيل الاختبارات الذي يجب عملها عند انتهاء الخدمات.</t>
  </si>
  <si>
    <t>تحدد الجهة متطلبات التنسيق الإضافية  للملف، وما يلي مثال على ذلك:
‌أ.حجم الخط
‌ب.نوع الملفات الالكترونية (PDF)
‌ج.توقيع جميع الصفحات (في حال التضامن، يجب أن يوقع العرض من قبل ممثل مفوض من الشركات المتضامنة، وأن يكون ملزماً قانونياً لجميع الأعضاء كما يتضح من خلال توكيل موقع من ممثليهم المعتمدين قانونا).</t>
  </si>
  <si>
    <t>الفترة المتاحة بالايام لتوقيع العقد بعد تقديم الضمان الابتدائي من تاريخ الانتظار</t>
  </si>
  <si>
    <t>مدة السماح لاستكمال الشهادات إذا لم يقدم صاحب العرض مع عرضه أيا من الشهادات المطلوبة، أو أن الشهادة المقدمة منتهية الصلاحية (أيام)</t>
  </si>
  <si>
    <t>ملف واحد</t>
  </si>
  <si>
    <t>ملفين منفصلين</t>
  </si>
  <si>
    <t>إعلان بالبوابة (جميع الموردين)</t>
  </si>
  <si>
    <t>دعوات خاصة</t>
  </si>
  <si>
    <t>إختر عضو لجنة الشراء المباشر</t>
  </si>
  <si>
    <t>محمد عبدالرحمن راشد البادي</t>
  </si>
  <si>
    <t>محمد ابراهيم فلاح الغدير</t>
  </si>
  <si>
    <t>عدد الفائزين</t>
  </si>
  <si>
    <t>قيمة المكافئة</t>
  </si>
  <si>
    <t>نوع الإجراء</t>
  </si>
  <si>
    <t>عنوان تسليم عينات للمورد</t>
  </si>
  <si>
    <t>التأهيل المسبق</t>
  </si>
  <si>
    <t>مرتبطة بإعلان مسبق لمنافسة</t>
  </si>
  <si>
    <t xml:space="preserve">  جامعة الملك سعود بن عبد العزیز للعلوم الصحیة</t>
  </si>
  <si>
    <t xml:space="preserve">  برنامج الخدمات الصحيه بالهيئة الملكية بالجبيل</t>
  </si>
  <si>
    <t xml:space="preserve">  مستشفى الملك فيصل التخصصي ومركز الابحاث-جدة</t>
  </si>
  <si>
    <t xml:space="preserve">  معهد الأمير سعود الفيصل للدراسات الدبلوماسية</t>
  </si>
  <si>
    <t xml:space="preserve">  الادارة العامة للخدمات الطبية للقوات المسلحة</t>
  </si>
  <si>
    <t xml:space="preserve">  الإدارة العامة للخدمات الطبية للقوات المسلحة ( إدارة البرامج والعقود )</t>
  </si>
  <si>
    <t xml:space="preserve">  مستشفيات الهدا والأمير سلطان والأمير منصور ومركز التأهيل</t>
  </si>
  <si>
    <t xml:space="preserve">  مستشفى قاعدة الملك عبدالعزيز الجوية بالظهران</t>
  </si>
  <si>
    <t xml:space="preserve">  الخدمات الطبية القوات المسلحة -معهد الأمير عبدالرحمن بن عبدالعزيز لطب الأسنان</t>
  </si>
  <si>
    <t xml:space="preserve">  البرنامج الوطني للتنمية الاجتماعية في المناطق</t>
  </si>
  <si>
    <t xml:space="preserve">  ادارة الشؤون الفنية المركزية بمنطقة مكة المكرمة</t>
  </si>
  <si>
    <t xml:space="preserve">  ادارة الشؤون الفنية بالمشاعر والعاصمة المقدسة</t>
  </si>
  <si>
    <t xml:space="preserve">  ادارة الشؤون الفنية المركزية بمنطقة المدينةالمنورة</t>
  </si>
  <si>
    <t xml:space="preserve">  ادارة الشؤون الفنية المركزية بالمنطقة الشرقية</t>
  </si>
  <si>
    <t xml:space="preserve">  ادارة الشؤون الفنية المركزية بمنطقة الحدودالشمالية</t>
  </si>
  <si>
    <t xml:space="preserve">  الإدارة العامة للشؤون الهندسية / الصيانة والتشغيل</t>
  </si>
  <si>
    <t xml:space="preserve">  الإدارة العامة للشؤون الهندسية / إدارة الطرق</t>
  </si>
  <si>
    <t xml:space="preserve">  الإدارة العامة للشؤون الهندسية /إدارة المشاريع</t>
  </si>
  <si>
    <t xml:space="preserve">  الإدارة العامة للشؤون الهندسية / إدارة الأسكان</t>
  </si>
  <si>
    <t xml:space="preserve">  الإدارة العامة للصيانة والنقل / تموين الصيانة</t>
  </si>
  <si>
    <t xml:space="preserve">  الإدارة العامة للصيانة والنقل / صيانة الآليات</t>
  </si>
  <si>
    <t xml:space="preserve">  الإدارة العامة للصيانة والنقل / الأسناد الفني</t>
  </si>
  <si>
    <t xml:space="preserve">  الشؤون المالية / العقود والاعتمادات المستندية</t>
  </si>
  <si>
    <t xml:space="preserve">  الشؤون البحرية/الإدارة العام للإسناد البحري</t>
  </si>
  <si>
    <t xml:space="preserve">  إدارة مكافحة المخدرات بمنطقة المدينة المنورة</t>
  </si>
  <si>
    <t xml:space="preserve">  إدارة مكافحة المخدرات بمنطقة الحدود الشمالية</t>
  </si>
  <si>
    <t xml:space="preserve">  وكالة أمانة منطقة الرياض لشئون بلديات المنطقة</t>
  </si>
  <si>
    <t xml:space="preserve">  المديرية العامة للشؤون الصحية بمنطقة الرياض</t>
  </si>
  <si>
    <t xml:space="preserve">  مدينة الملك عبدالله الطبية بالعاصمة المقدسة</t>
  </si>
  <si>
    <t xml:space="preserve">  المديرية العامة للشؤون الصحية بمنطقة المدينة المنورة</t>
  </si>
  <si>
    <t xml:space="preserve">  المديرية العامة للشؤون الصحية بالمنطقة الشرقية</t>
  </si>
  <si>
    <t xml:space="preserve">  مدينة الملك فيصل الطبية لخدمة المناطق الجنوبية</t>
  </si>
  <si>
    <t xml:space="preserve">  المديرية العامة للشؤؤن الصحية بالحدود الشمالية</t>
  </si>
  <si>
    <t xml:space="preserve">  المديرية العامة للشؤون الصحية بالمنطقة الباحة</t>
  </si>
  <si>
    <t xml:space="preserve">  المديرية العامة للشؤن الصحية بالقصيم - المديرية العامة للشؤن الصحية بالقصيم</t>
  </si>
  <si>
    <t xml:space="preserve">  المديرية العامة للشئون الصحية بمنطقة الرياض - مستشفى الأمل</t>
  </si>
  <si>
    <t xml:space="preserve">  المديرية العامة للشئون الصحية بمنطقة الرياض - مستشفى اليمامة بالرياض</t>
  </si>
  <si>
    <t xml:space="preserve">  المديرية العامة للشئون الصحية بمنطقة الرياض - مستشفى الولادة والأطفال بالخرج</t>
  </si>
  <si>
    <t xml:space="preserve">  المديرية العامة للشئون الصحية بمنطقة الرياض - مستشفى حوطة بني تميم</t>
  </si>
  <si>
    <t xml:space="preserve">  المديرية العامة للشئون الصحية بمنطقة الرياض - مستشفى القويعية</t>
  </si>
  <si>
    <t xml:space="preserve">  المديرية العامة للشؤن الصحية بالقصيم - مستشفى الملك سعود بعنيزة</t>
  </si>
  <si>
    <t xml:space="preserve">  المديرية العامة للشئون الصحية في عسير - مستشفى الولادة والأطفال بخميس مشيط</t>
  </si>
  <si>
    <t xml:space="preserve">  المديرية العامة للشئون الصحية في الجوف - مستشفى النساء والولادة والاطفال</t>
  </si>
  <si>
    <t xml:space="preserve">  بسكاكا</t>
  </si>
  <si>
    <t xml:space="preserve">  المديرية العامة للشئون الصحية في نجران - مستشفى نجران العام</t>
  </si>
  <si>
    <t xml:space="preserve">  مديرية الشئون الصحية بالطائف - مستشفى الملك عبد العزيز التخصصي</t>
  </si>
  <si>
    <t xml:space="preserve">  المديرية العامة للشئون الصحية في الإحساء - مستشفى الأمير سعود بن جلوي</t>
  </si>
  <si>
    <t xml:space="preserve">  إدارة التربية والتعليم بمحافظة وادي الدواسر</t>
  </si>
  <si>
    <t xml:space="preserve">  إدارة التربية والتعليم بمنطقة المدينة المنورة</t>
  </si>
  <si>
    <t xml:space="preserve">  إدارة التربية والتعليم بمنطقة الحدود الشمالية</t>
  </si>
  <si>
    <t xml:space="preserve">  وزارة الاتصالات وتقنية المعلومات - الديوان العام</t>
  </si>
  <si>
    <t xml:space="preserve">  المركز السعودي للشراكات الاستراتيجية الدولية</t>
  </si>
  <si>
    <t xml:space="preserve">  الهيئة السعودية للمواصفات والمقاييس والجودة</t>
  </si>
  <si>
    <t xml:space="preserve">  الرئاسة العامة لهيئات الأمر بالمعروف والنهي عن المنكر</t>
  </si>
  <si>
    <t xml:space="preserve">  الرئاسة العامة لشـؤون المسجدالحرام والمسجد النبوي</t>
  </si>
  <si>
    <t xml:space="preserve">  إعانة اللجنة الوطنية لمتابعة مبادرة خادم الحرمين الشريفين الملك عبدالله بن</t>
  </si>
  <si>
    <t xml:space="preserve">  عبدالعزيز للحوار بين أتباع الأديان والثقافات</t>
  </si>
  <si>
    <t xml:space="preserve">  إعانة مركز الملك سلمان للإغاثة والأعمال الإنسانية</t>
  </si>
  <si>
    <t xml:space="preserve">  المركز الوطني لتنمية الغطاء النباتي ومكافحة التصحر</t>
  </si>
  <si>
    <t xml:space="preserve">  مدينة الملك عبدالله للطاقة الذرية والمتجددة</t>
  </si>
  <si>
    <t xml:space="preserve">  الهيئة العامة للولاية على أموال القاصرين ومن في حكمهم</t>
  </si>
  <si>
    <t xml:space="preserve">  مدينة الملك عبدالعزيز للعلوم والتقنية - وحدة الانترنت</t>
  </si>
  <si>
    <t xml:space="preserve">  الجامعة السعودية الالكترونية - معهد البحوث والدراسات*</t>
  </si>
  <si>
    <t xml:space="preserve">  جامعة الأمير سلطان /عمادة شئون الطلاب وخدمة المجتمع</t>
  </si>
  <si>
    <t xml:space="preserve">  معهد الملك عبدالله للبحوث والدراسات الاستشارية*</t>
  </si>
  <si>
    <t xml:space="preserve">  جامعة الامام عبدالرحمن الفيصل معهد الدراسات الاستشارية</t>
  </si>
  <si>
    <t xml:space="preserve">  معهد خادم الحرمين الشريفين لابحاث الحج والعمرة</t>
  </si>
  <si>
    <t xml:space="preserve">  الهيئة السعودية للمدن الصناعية ومناطق التقنية (مدن)</t>
  </si>
  <si>
    <t xml:space="preserve">  المؤسسة العامة لتحلية المياه - مركز التدريب</t>
  </si>
  <si>
    <t xml:space="preserve">  الديوان الملكي - مركز دعم إتخاذ القرار</t>
  </si>
  <si>
    <t xml:space="preserve">  المؤسسة العامه للصناعات العسكرية / المبيعات الحكومية</t>
  </si>
  <si>
    <t xml:space="preserve">  جمعية البر الخيرية بالرس تبرعات اشتراكات</t>
  </si>
  <si>
    <t xml:space="preserve">  جامعة الملك عبدالعزيز مركز المبدعون للدراسات</t>
  </si>
  <si>
    <t xml:space="preserve">  هيئة المحتوى المحلي والمشتريات الحكومية- الديوان العام</t>
  </si>
  <si>
    <t xml:space="preserve">  الهيئة الملكية لمدينة مكة المكرمة والمشاعر المقدسة</t>
  </si>
  <si>
    <t xml:space="preserve">  الجمعية العربية السعودية للثقافة والفنون</t>
  </si>
  <si>
    <t xml:space="preserve">  جامعة ام القرى المعهد العالي للامر بالمعروف والنهي عن المنكر</t>
  </si>
  <si>
    <t xml:space="preserve">  الاتحاد السعودي للرياضة للجميع مناولة البنك الأهلي التجاري</t>
  </si>
  <si>
    <t xml:space="preserve">  جامعة المجمعة - الدراسات والخدمات الاستشارية</t>
  </si>
  <si>
    <t xml:space="preserve">  جامعة المجمعة معهد الملك سلمان للدراسات والخدمات الاستشارية</t>
  </si>
  <si>
    <t xml:space="preserve">  البرنامج الوطني لدعم ادارة المشروعات والتشغيل والصيانة في الجهات العامة</t>
  </si>
  <si>
    <t xml:space="preserve">  (مشروعات)</t>
  </si>
  <si>
    <t xml:space="preserve">  صندوق الايرادات المالية الذاتية لمدينة الملك فهد الطبية</t>
  </si>
  <si>
    <t xml:space="preserve">  جامعة أم القرى معهد البحوث والدراسات الاستشارية**</t>
  </si>
  <si>
    <t xml:space="preserve">  الجمعية التعاونية للنحالين بمحافظة الطائف</t>
  </si>
  <si>
    <t xml:space="preserve">  جامعة الباحة معهد الدراسات والخدمات الاستشارية</t>
  </si>
  <si>
    <t xml:space="preserve">  جامعة الملك فهد للبترول والمعادن - معهد البحوث</t>
  </si>
  <si>
    <t xml:space="preserve">  حساب جامعة الملك فيصل معهد البحوث والإستشارات</t>
  </si>
  <si>
    <t xml:space="preserve">  وزارة التجارة والاستثمار تأسيس ضمان تمويل برنامج كفالة</t>
  </si>
  <si>
    <t xml:space="preserve">  معهد خادم الحرمين الشرفين لابحاث الحج والعمرة بجامعة ام القرى</t>
  </si>
  <si>
    <t xml:space="preserve">  الهيئة السعودية للمدن الصناعية ومناطق التقنية</t>
  </si>
  <si>
    <t xml:space="preserve">  المركز الوطني للتقويم والاعتماد الاكاديمي - ايرادات</t>
  </si>
  <si>
    <t xml:space="preserve">  مركز التدريب وخدمة المجتمع بكلية المعلمين</t>
  </si>
  <si>
    <t xml:space="preserve">  المركز التربوي للتطوير والتنمية المهنية</t>
  </si>
  <si>
    <t xml:space="preserve">  فرع خدمة المجتمع والتدريب المستمر بالرياض</t>
  </si>
  <si>
    <t xml:space="preserve">  عمادة معهد البحوث والاستشارات / جامعة الملك عبدالعزيز</t>
  </si>
  <si>
    <t xml:space="preserve">  جامعة الملك عبدالعزيز مركز المبدعون للدراسات*</t>
  </si>
  <si>
    <t xml:space="preserve">  المركز الوطني لأبحاث وتطوير الزراعة المستدامة استدامه</t>
  </si>
  <si>
    <t xml:space="preserve">  معهد الدراسات والخدمات الاستشارية بجامعة</t>
  </si>
  <si>
    <t xml:space="preserve">  مؤسسة البريد السعودي - ايرادات البريد الممتاز</t>
  </si>
  <si>
    <t xml:space="preserve">  جامعة الملك فهد للبترول والمعادن صندوق الطلاب</t>
  </si>
  <si>
    <t xml:space="preserve">  معهد البحوث والخدمات الاستشارية بجامعة جازان</t>
  </si>
  <si>
    <t xml:space="preserve">  جمعية تواصل للتقنيات المساعدة لذوي الاعاقة</t>
  </si>
  <si>
    <t xml:space="preserve">  الجمعية التعاونية للتحول الرقمي بمدينة الرياض</t>
  </si>
  <si>
    <t xml:space="preserve">  جامعة الأميرة نورة بنت عبدالرحمن / الدراسات والخدمات الاستشارية</t>
  </si>
  <si>
    <t xml:space="preserve">  الاتحاد السعودي للأمن السيبراني والبرمجة</t>
  </si>
  <si>
    <t xml:space="preserve">  وزارة التعليم العالي - المركز الوطني للتعليم الالكتروني*</t>
  </si>
  <si>
    <t xml:space="preserve">  معهد الدراسات والخدمات الاستشارية - جامعة القصيم</t>
  </si>
  <si>
    <t xml:space="preserve">  جامعة الملك خالد معهد البحوث والدراسات الاستشارية</t>
  </si>
  <si>
    <t xml:space="preserve">  وزارة الدفاع - ادارة التشغيل والصيانة للمنشآت العسكرية</t>
  </si>
  <si>
    <t xml:space="preserve">  وكالة شؤون البلديات التابعة لأمانة المنطقة الشرقية</t>
  </si>
  <si>
    <t xml:space="preserve">  القوات البحرية - قاعدة الملك سلمان للاسناد البحري</t>
  </si>
  <si>
    <t xml:space="preserve">  إدارة التشغيل والصيانة للمنشأت العسكرية بالعيينة</t>
  </si>
  <si>
    <t xml:space="preserve">  الإدارة العامة للأشغال العسكرية - وزارة الدفاع</t>
  </si>
  <si>
    <t xml:space="preserve">  الادارة العامة للخدمات الطبية للقوات المسلحة - إدارة الاخلاء الطبي الجوي</t>
  </si>
  <si>
    <t xml:space="preserve">  الإدارة العامة للموارد الذاتية في وزارة الصحة</t>
  </si>
  <si>
    <t xml:space="preserve">  الشركة الوطنية للشراء الموحد للأدوية والأجهزة والمستلزمات الطبية</t>
  </si>
  <si>
    <t xml:space="preserve">  وزارة الاتصالات وتقنية المعلومات - الديوان العام - VRO</t>
  </si>
  <si>
    <t xml:space="preserve">  مكتب تحقيق الرؤية وزارة الاقتصاد والتخطيط - VRO</t>
  </si>
  <si>
    <t>الديوان الملكي</t>
  </si>
  <si>
    <t>المركز الوطني للوثائق والمحفوظات</t>
  </si>
  <si>
    <t>المجلس الاقتصادي الأعلى</t>
  </si>
  <si>
    <t>مجلس الخدمة العسكرية</t>
  </si>
  <si>
    <t>هيئة البيعة</t>
  </si>
  <si>
    <t>المجلس الأعلى لشؤون البترول والمعادن</t>
  </si>
  <si>
    <t>الشـؤون الخاصة لخادم الحرمين الشريفين</t>
  </si>
  <si>
    <t>الشـؤون الخاصة لسمو ولي العهد</t>
  </si>
  <si>
    <t>المراسم الملكية</t>
  </si>
  <si>
    <t>رئاسة الحرس الملكي</t>
  </si>
  <si>
    <t>مركز الأمن الوطني</t>
  </si>
  <si>
    <t>الطيران الملكي السعودي</t>
  </si>
  <si>
    <t>مركز دعم اتخاذ القرار</t>
  </si>
  <si>
    <t>مجلس الشورى</t>
  </si>
  <si>
    <t>الأمانة العامة لمجلس الوزراء</t>
  </si>
  <si>
    <t>هيئة الخبراء بمجلس الوزراء</t>
  </si>
  <si>
    <t>مكتبة الملك فهد الوطنية</t>
  </si>
  <si>
    <t>المركز الوطني لقياس أداء الأجهزة العامة</t>
  </si>
  <si>
    <t>وزارة الحرس الوطني</t>
  </si>
  <si>
    <t>الشؤون الصحیة بوزارة الحرس الوطني</t>
  </si>
  <si>
    <t>كلية الملك خالد العـسكرية</t>
  </si>
  <si>
    <t>اللواء الخاص</t>
  </si>
  <si>
    <t>ديوان المظالم</t>
  </si>
  <si>
    <t>ديوان المراقبة العامة</t>
  </si>
  <si>
    <t>وزارة الخدمة المدنية-الديوان العام</t>
  </si>
  <si>
    <t>معهد الادارة العامة</t>
  </si>
  <si>
    <t>الإدارة العامة للشؤون الإدارية والمالية</t>
  </si>
  <si>
    <t>هيئة الرقابة والتحقيق</t>
  </si>
  <si>
    <t>وزارة الرياضة</t>
  </si>
  <si>
    <t>المؤسسة العامة للموانىء</t>
  </si>
  <si>
    <t>ميناء الملك فهد الصناعي بالجبيل</t>
  </si>
  <si>
    <t>ميناء الملك فهد الصناعي بينبع</t>
  </si>
  <si>
    <t>ميناء ينبع التجاري</t>
  </si>
  <si>
    <t>ميناء الملك عبدالعزيز بالدمام</t>
  </si>
  <si>
    <t>ميناء جدة الاسلامي</t>
  </si>
  <si>
    <t>ميناء الجبيل التجاري</t>
  </si>
  <si>
    <t>ميناء ضباء</t>
  </si>
  <si>
    <t>ميناء جازان</t>
  </si>
  <si>
    <t>ميناء رأس الخير</t>
  </si>
  <si>
    <t>مدينة الملك عبدالعزيز للعلوم والتقنية</t>
  </si>
  <si>
    <t>وحدة خدمات الإنترنت</t>
  </si>
  <si>
    <t>المركز الرئيسي</t>
  </si>
  <si>
    <t>الهيئة الملكية بالجبيل</t>
  </si>
  <si>
    <t>الهيئة الملكية بالجبيل - برنامج رأس الخير</t>
  </si>
  <si>
    <t>الادارة العامة لمشروع ينبع</t>
  </si>
  <si>
    <t>برنامج الخدمات الصحية - ينبع</t>
  </si>
  <si>
    <t>مدينة جازان للصناعات الاساسية والتحويلية</t>
  </si>
  <si>
    <t>مستشفى الملك فيصل التخصصي ومركز الأبحاث</t>
  </si>
  <si>
    <t>هيئة السوق المالية</t>
  </si>
  <si>
    <t>مركز تحقيق كفاءة الإنفاق</t>
  </si>
  <si>
    <t>صندوق التنمية السياحية</t>
  </si>
  <si>
    <t>وزارة الخارجية - الديوان العام</t>
  </si>
  <si>
    <t>وزارة الاقتصاد والتخطيط - الديوان العام</t>
  </si>
  <si>
    <t>وزارة الاقتصاد والتخطيط ( الديوان العام )</t>
  </si>
  <si>
    <t>الهيئة العامة للإحصاء</t>
  </si>
  <si>
    <t>وزارة الدفاع - الديوان العام</t>
  </si>
  <si>
    <t>رئاسة هيئة الأركان العامة</t>
  </si>
  <si>
    <t>القوات البرية</t>
  </si>
  <si>
    <t>القوات الجوية</t>
  </si>
  <si>
    <t>القوات البحرية</t>
  </si>
  <si>
    <t>مركز التشغيل والصيانه بالرياض</t>
  </si>
  <si>
    <t>مركز التشغيل والصيانه بالدمام</t>
  </si>
  <si>
    <t>مركز التشغيل والصيانه براس مشعاب</t>
  </si>
  <si>
    <t>مركز التشغيل والصيانه بجازان</t>
  </si>
  <si>
    <t>قوات الدفاع الجوي</t>
  </si>
  <si>
    <t>كلية الملك عبدالعزيز الحربية</t>
  </si>
  <si>
    <t>كلية الملك فيصل الجوية</t>
  </si>
  <si>
    <t>المستشفيات المتنقلة</t>
  </si>
  <si>
    <t>الإدارة الهندسية والأشغال</t>
  </si>
  <si>
    <t>مستشفى القوات المسلحة بالرياض</t>
  </si>
  <si>
    <t>مركز الأمير سلطان لأمراض وجراحة القلب</t>
  </si>
  <si>
    <t>الإخلاء الطبي</t>
  </si>
  <si>
    <t>مستشفيات القوات المسلحة بالخرج</t>
  </si>
  <si>
    <t>مستشفى المدينة المنورة</t>
  </si>
  <si>
    <t>مستشفى الملك فهد بجدة</t>
  </si>
  <si>
    <t>مستشفى حفر الباطن</t>
  </si>
  <si>
    <t>مستشفى تبوك</t>
  </si>
  <si>
    <t>مستشفى القوات المسلحة بجازان</t>
  </si>
  <si>
    <t>مستشفى خميس مشيط</t>
  </si>
  <si>
    <t>مستشفى مجمع الملك فهد الطبي بالظهران</t>
  </si>
  <si>
    <t>كلية الأمير سلطان العسكرية للعلوم الصحية</t>
  </si>
  <si>
    <t>مستشفى نجران</t>
  </si>
  <si>
    <t>مستشفى القوات المسلحة بالقصيم</t>
  </si>
  <si>
    <t>مستشفى وادي الدواسر</t>
  </si>
  <si>
    <t>مستشفى شرورة</t>
  </si>
  <si>
    <t>مستشفى الجبيل</t>
  </si>
  <si>
    <t>الإدارة العامة للأشغال العسكرية</t>
  </si>
  <si>
    <t>إدارة التموين</t>
  </si>
  <si>
    <t>المستشفيات الصغيرة</t>
  </si>
  <si>
    <t>المؤسسة العامة للصناعات العسكرية</t>
  </si>
  <si>
    <t>كلية الملك فهد البحرية</t>
  </si>
  <si>
    <t>كلية الملك عبدالله للدفاع الجوي</t>
  </si>
  <si>
    <t>الهيئة العامة للمساحة</t>
  </si>
  <si>
    <t>قوة الصواريخ الاستراتيجية</t>
  </si>
  <si>
    <t>وزارة الداخلية - الديوان العام</t>
  </si>
  <si>
    <t>الإدارة العامة للخدمات الطبية</t>
  </si>
  <si>
    <t>إسكان قوى الأمن بجدة</t>
  </si>
  <si>
    <t>إسكان قوى الأمن بنجران</t>
  </si>
  <si>
    <t>إسكان قوى الأمن بشرورة</t>
  </si>
  <si>
    <t>إسكان قوى الأمن بعرعر وطريف</t>
  </si>
  <si>
    <t>إسكان قوى الأمن بتبوك</t>
  </si>
  <si>
    <t>إسكان قوى الأمن بالظهران</t>
  </si>
  <si>
    <t>إسكان قوى الأمن بالخفجي</t>
  </si>
  <si>
    <t>إسكان قوى الأمن بحفر الباطن</t>
  </si>
  <si>
    <t>هيئة تطوير وتعمير منطقة جبل فيفا</t>
  </si>
  <si>
    <t>برنامج المدن الطبية</t>
  </si>
  <si>
    <t>وكالة وزارة الداخلية لشؤون الأفواج الأمنية</t>
  </si>
  <si>
    <t>مستشفى قوى الأمن بمنطقة مكة المكرمة</t>
  </si>
  <si>
    <t>مستشفى قوى الأمن بالدمام</t>
  </si>
  <si>
    <t>مستشفى قوى الأمن بمنطقة الرياض</t>
  </si>
  <si>
    <t>القوات الخاصة للأمن والحماية</t>
  </si>
  <si>
    <t>الإدارة العامة لأندية ضباط قوى الأمن</t>
  </si>
  <si>
    <t>الإدارة العامة لصحة السجون</t>
  </si>
  <si>
    <t>الخدمات الطبية بوزارة الداخلية</t>
  </si>
  <si>
    <t>الأمن العام</t>
  </si>
  <si>
    <t>الإدارة العامة لدوريات الأمن</t>
  </si>
  <si>
    <t>الإدارة العامة للأمن والحماية</t>
  </si>
  <si>
    <t>الشؤون الإدارية والمالية</t>
  </si>
  <si>
    <t>التخطيط والتطوير</t>
  </si>
  <si>
    <t>شؤون الأمن</t>
  </si>
  <si>
    <t>الإمداد والتموين</t>
  </si>
  <si>
    <t>أمن الحج والعمرة</t>
  </si>
  <si>
    <t>شؤون التدريب</t>
  </si>
  <si>
    <t>شرطة منطقة الرياض.</t>
  </si>
  <si>
    <t>شرطة منطقة مكة المكرمة.</t>
  </si>
  <si>
    <t>شرطة منطقة المدينة المنورة.</t>
  </si>
  <si>
    <t>شرطة المنطقة الشرقية.</t>
  </si>
  <si>
    <t>شرطة منطقة القصيم.</t>
  </si>
  <si>
    <t>شرطة منطقة عسير.</t>
  </si>
  <si>
    <t>شرطة منطقة حائل.</t>
  </si>
  <si>
    <t>شرطة منطقة الباحة.</t>
  </si>
  <si>
    <t>شرطة منطقة تبوك.</t>
  </si>
  <si>
    <t>شرطة منطقة جازان</t>
  </si>
  <si>
    <t>شرطة منطقة نجران.</t>
  </si>
  <si>
    <t>شرطة منطقة الحدود الشمالية.</t>
  </si>
  <si>
    <t>شرطة منطقة الجوف.</t>
  </si>
  <si>
    <t>القوات الخاصة لأمن الطرق</t>
  </si>
  <si>
    <t>القوات الخاصة للأمن الدبلوماسي</t>
  </si>
  <si>
    <t>الإدارة العامة للمرور.</t>
  </si>
  <si>
    <t>الإدارة العامة للمشاريع والصيانة</t>
  </si>
  <si>
    <t>الإدارة العامة لأنظمة الإتصالات</t>
  </si>
  <si>
    <t>الإدارة العامة للأدلة الجنائية</t>
  </si>
  <si>
    <t>الإدارة العامة للعلاقات والإعلام</t>
  </si>
  <si>
    <t>الإدارة العامة للشؤون القانونية</t>
  </si>
  <si>
    <t>الإدارة العامة للمشتريات والعقود</t>
  </si>
  <si>
    <t>الإدارة العامة للشؤون المالية بالأمن العام</t>
  </si>
  <si>
    <t>الامن العام</t>
  </si>
  <si>
    <t>الادارة العامة للسجون</t>
  </si>
  <si>
    <t>شرطة منطقة الرياض</t>
  </si>
  <si>
    <t>شرطة منطقة مكة المكرمة</t>
  </si>
  <si>
    <t>شرطة المنطقة الشرقية</t>
  </si>
  <si>
    <t>شرطة منطقة المدينة المنورة</t>
  </si>
  <si>
    <t>شرطة منطقة حائل</t>
  </si>
  <si>
    <t>الدفاع المدني</t>
  </si>
  <si>
    <t>ادارة الشؤون الفنية المركزية بمنطقة الرياض</t>
  </si>
  <si>
    <t>ادارة الشؤون الفنية المركزية بمنطقة القصيم</t>
  </si>
  <si>
    <t>ادارة الشؤون الفنية المركزية بمنطقة حائل</t>
  </si>
  <si>
    <t>ادارة الشؤون الفنية المركزية بمنطقة الجوف</t>
  </si>
  <si>
    <t>ادارة الشؤون الفنية المركزية بمنطقة تبوك</t>
  </si>
  <si>
    <t>ادارة الشؤون الفنية المركزية بمنطقة الباحة</t>
  </si>
  <si>
    <t>ادارة الشؤون الفنية المركزية بمنطقة عسير</t>
  </si>
  <si>
    <t>ادارة الشؤون الفنية المركزية بمنطقة جازان</t>
  </si>
  <si>
    <t>ادارة الشؤون الفنية المركزية بمنطقة نجران</t>
  </si>
  <si>
    <t>الادارة العامة للصيانة</t>
  </si>
  <si>
    <t>الادارة العامة للشؤون الهندسية</t>
  </si>
  <si>
    <t>الادارة العامة للاتصالات</t>
  </si>
  <si>
    <t>ادارة المشتريات</t>
  </si>
  <si>
    <t>حرس الحدود</t>
  </si>
  <si>
    <t>إدارةتقنية المعلومات</t>
  </si>
  <si>
    <t>الإدارة العامة للتدريب</t>
  </si>
  <si>
    <t>إدارة الإسناد الفني</t>
  </si>
  <si>
    <t>إدارة الأتصالات</t>
  </si>
  <si>
    <t>إدارة نظم المراقبة</t>
  </si>
  <si>
    <t>إدارة الشؤون الطبية</t>
  </si>
  <si>
    <t>إدارة الأعلام</t>
  </si>
  <si>
    <t>إدارة العلاقات والمراسم</t>
  </si>
  <si>
    <t>الإدارة العامة للإمدادات والتموين</t>
  </si>
  <si>
    <t>المدير العامة لحرس الحدود / الرياض</t>
  </si>
  <si>
    <t>كلية الملك فهد الامنية</t>
  </si>
  <si>
    <t>المديرية العامة للجوازات</t>
  </si>
  <si>
    <t>الادارة العامة للمجاهدين</t>
  </si>
  <si>
    <t>أمارة منطقة الرياض</t>
  </si>
  <si>
    <t>أمارة منطقة مكة المكرمة</t>
  </si>
  <si>
    <t>أمارة المنطقة الشرقية</t>
  </si>
  <si>
    <t>أمارة منطقة المدينة المنورة</t>
  </si>
  <si>
    <t>أمارة منطقة حائل</t>
  </si>
  <si>
    <t>أمارة منطقة القصيم</t>
  </si>
  <si>
    <t>أمارة منطقة الحدود الشمالية</t>
  </si>
  <si>
    <t>أمارة منطقة عسير</t>
  </si>
  <si>
    <t>أمارة منطقة تبوك</t>
  </si>
  <si>
    <t>أمارة منطقة الجوف</t>
  </si>
  <si>
    <t>أمارة منطقة الباحة</t>
  </si>
  <si>
    <t>أمارة منطقة جازان</t>
  </si>
  <si>
    <t>أمارة منطقة نجران</t>
  </si>
  <si>
    <t>المديرية العامة للسجون</t>
  </si>
  <si>
    <t>المديرية العامة للأحوال المدنية</t>
  </si>
  <si>
    <t>قوة أمن المنشآت</t>
  </si>
  <si>
    <t>المديرية العامة لمكافحة المخدرات</t>
  </si>
  <si>
    <t>إدارة مكافحة المخدرات بمنطقة الرياض</t>
  </si>
  <si>
    <t>إدارة مكافحة المخدرات بمنطقة مكة المكرمة</t>
  </si>
  <si>
    <t>إدارة مكافحة المخدرات بالمنطقة الشرقية</t>
  </si>
  <si>
    <t>إدارة مكافحة المخدرات بمنطقة جازان</t>
  </si>
  <si>
    <t>إدارة مكافحة المخدرات بمنطقة نجران</t>
  </si>
  <si>
    <t>إدارة مكافحة المخدرات بمنطقة القصيم</t>
  </si>
  <si>
    <t>إدارة مكافحة المخدرات بمنطقة حائل</t>
  </si>
  <si>
    <t>إدارة مكافحة المخدرات بمنطقة عسير</t>
  </si>
  <si>
    <t>إدارة مكافحة المخدرات بمنطقة الجوف</t>
  </si>
  <si>
    <t>إدارة مكافحة المخدرات بمنطقة تبوك</t>
  </si>
  <si>
    <t>إدارة مكافحة المخدرات بمنطقة الباحة</t>
  </si>
  <si>
    <t>وزارة الشئون البلدية والقروية</t>
  </si>
  <si>
    <t>أمانة العاصمة المقدسة</t>
  </si>
  <si>
    <t>بلدية محافظة الجموم</t>
  </si>
  <si>
    <t>بلدية عسفان</t>
  </si>
  <si>
    <t>بلدية مدركة</t>
  </si>
  <si>
    <t>أمانة منطقة المدينة المنورة</t>
  </si>
  <si>
    <t>هيئة تطوير المدينة المنوره</t>
  </si>
  <si>
    <t>بلدية محافظة ينبع</t>
  </si>
  <si>
    <t>بلدية محافظة العلا</t>
  </si>
  <si>
    <t>بلدية محافظة بدر</t>
  </si>
  <si>
    <t>بلدية محافظة خيبر</t>
  </si>
  <si>
    <t>بلدية محافظة الحناكية</t>
  </si>
  <si>
    <t>بلدية محافظة المهد</t>
  </si>
  <si>
    <t>بلدية ينبع النخل</t>
  </si>
  <si>
    <t>بلدية وادى الفرع</t>
  </si>
  <si>
    <t>بلدية العيص</t>
  </si>
  <si>
    <t>بلدية الحسو</t>
  </si>
  <si>
    <t>بلدية النخيل</t>
  </si>
  <si>
    <t>بلدية المسيجيد والقاحة</t>
  </si>
  <si>
    <t>بلدية العشاش</t>
  </si>
  <si>
    <t>بلدية ثرب</t>
  </si>
  <si>
    <t>بلدية الصلصلة</t>
  </si>
  <si>
    <t>بلدية سليلة جهينة والمربع</t>
  </si>
  <si>
    <t>أمانة منطقة الرياض</t>
  </si>
  <si>
    <t>بلدية محافظة الخرج</t>
  </si>
  <si>
    <t>بلدية محافظة الدوادمى</t>
  </si>
  <si>
    <t>بلدية محافظة عفيف</t>
  </si>
  <si>
    <t>بلدية محافظة المجمعة</t>
  </si>
  <si>
    <t>بلدية محافظة الزلفى</t>
  </si>
  <si>
    <t>بلدية محافظة وادي الدواسر</t>
  </si>
  <si>
    <t>بلدية محافظة شقراء</t>
  </si>
  <si>
    <t>بلدية محافظة القويعية</t>
  </si>
  <si>
    <t>بلدية محافظة الدرعية</t>
  </si>
  <si>
    <t>بلدية محافظة الافلاج</t>
  </si>
  <si>
    <t>بلدية محافظة حوطة بنى تميم</t>
  </si>
  <si>
    <t>بلدية حوطة سدير</t>
  </si>
  <si>
    <t>بلدية الدلم</t>
  </si>
  <si>
    <t>بلدية محافظة السليل</t>
  </si>
  <si>
    <t>بلدية محافظة حريملاء</t>
  </si>
  <si>
    <t>بلدية محافظة ضرماء</t>
  </si>
  <si>
    <t>بلدية مرات</t>
  </si>
  <si>
    <t>بلدية محافظة المزاحمية</t>
  </si>
  <si>
    <t>بلدية محافظة الغاط</t>
  </si>
  <si>
    <t>بلدية تمير</t>
  </si>
  <si>
    <t>بلدية محافظة ثادق</t>
  </si>
  <si>
    <t>بلدية جلاجل</t>
  </si>
  <si>
    <t>بلدية محافظة الحريق</t>
  </si>
  <si>
    <t>بلدية روضة سدير</t>
  </si>
  <si>
    <t>بلدية الرين</t>
  </si>
  <si>
    <t>بلدية الحلوة</t>
  </si>
  <si>
    <t>بلدية الرويضة</t>
  </si>
  <si>
    <t>بلدية العيينة والجبيلة</t>
  </si>
  <si>
    <t>بلدية الهياثم</t>
  </si>
  <si>
    <t>بلدية البجادية</t>
  </si>
  <si>
    <t>بلدية ساجر</t>
  </si>
  <si>
    <t>بلدية محافظة رماح</t>
  </si>
  <si>
    <t>بلدية نفى</t>
  </si>
  <si>
    <t>بلدية القصب</t>
  </si>
  <si>
    <t>بلدية الهدار</t>
  </si>
  <si>
    <t>بلدية الأرطاوية</t>
  </si>
  <si>
    <t>بلدية الجمش</t>
  </si>
  <si>
    <t>بلدية حلبان</t>
  </si>
  <si>
    <t>بلدية أشيقر</t>
  </si>
  <si>
    <t>بلدية الأحمر</t>
  </si>
  <si>
    <t>بلدية عروى</t>
  </si>
  <si>
    <t>بلدية الحصاة</t>
  </si>
  <si>
    <t>بلدية بدائع العضيان</t>
  </si>
  <si>
    <t>بلدية الجله وتبراك</t>
  </si>
  <si>
    <t>بلدية البديع</t>
  </si>
  <si>
    <t>بلدية السر</t>
  </si>
  <si>
    <t>بلدية الحيانية والبرك</t>
  </si>
  <si>
    <t>أمانة محافظة جدة</t>
  </si>
  <si>
    <t>بلدية محافظة رابغ</t>
  </si>
  <si>
    <t>بلدية محافظة القنفذة</t>
  </si>
  <si>
    <t>بلدية محافظة الليث</t>
  </si>
  <si>
    <t>بلدية محافظة خليص</t>
  </si>
  <si>
    <t>(بلدية القوز(القنفذة</t>
  </si>
  <si>
    <t>بلدية محافظة الكامل</t>
  </si>
  <si>
    <t>بلدية أضم</t>
  </si>
  <si>
    <t>بلدية العرضية الجنوبية</t>
  </si>
  <si>
    <t>بلدية حجر</t>
  </si>
  <si>
    <t>بلدية المظيلف</t>
  </si>
  <si>
    <t>بلدية الحلى</t>
  </si>
  <si>
    <t>بلدية الشواق</t>
  </si>
  <si>
    <t>بلدية العرضية الشمالية</t>
  </si>
  <si>
    <t>بلدية غميقة</t>
  </si>
  <si>
    <t>بلدية سبت الجارة</t>
  </si>
  <si>
    <t>أمانة المنطقة الشرقية</t>
  </si>
  <si>
    <t>بلدية محافظة القطيف</t>
  </si>
  <si>
    <t>بلدية محافظة الخفجى</t>
  </si>
  <si>
    <t>بلدية محافظة الجبيل</t>
  </si>
  <si>
    <t>بلدية محافظة بقيق</t>
  </si>
  <si>
    <t>بلدية محافظة النعيرية</t>
  </si>
  <si>
    <t>بلدية محافظة راس تنورة</t>
  </si>
  <si>
    <t>بلدية الرفيعة</t>
  </si>
  <si>
    <t>بلدية محافظة قرية العليا</t>
  </si>
  <si>
    <t>بلدية مليجة</t>
  </si>
  <si>
    <t>بلدية الصرار</t>
  </si>
  <si>
    <t>بلدية اللهابة</t>
  </si>
  <si>
    <t>بلدية عريعرة</t>
  </si>
  <si>
    <t>بلدية جوف بني هاجر</t>
  </si>
  <si>
    <t>بلدية القليب</t>
  </si>
  <si>
    <t>بلدية عين دار</t>
  </si>
  <si>
    <t>أمانة منطقة عسير</t>
  </si>
  <si>
    <t>بلدية محافظة خميس مشيط</t>
  </si>
  <si>
    <t>بلدية محافظة بيشة</t>
  </si>
  <si>
    <t>بلدية محافظة ظهران الجنوب</t>
  </si>
  <si>
    <t>بلدية محافظة النماص</t>
  </si>
  <si>
    <t>بلدية محافظة محايل عسير</t>
  </si>
  <si>
    <t>بلدية محافظة احد رفيدة</t>
  </si>
  <si>
    <t>بلدية محافظة تثليث</t>
  </si>
  <si>
    <t>بلدية تنومة</t>
  </si>
  <si>
    <t>بلدية محافظة سراة عبيدة</t>
  </si>
  <si>
    <t>بلدية محافظة بلقرن</t>
  </si>
  <si>
    <t>بلدية محافظة رجال المع</t>
  </si>
  <si>
    <t>بلدية محافظة المجاردة</t>
  </si>
  <si>
    <t>بلدية الحرجة</t>
  </si>
  <si>
    <t>بلدية الربوعة</t>
  </si>
  <si>
    <t>بلدية بللسمر</t>
  </si>
  <si>
    <t>بلدية طريب</t>
  </si>
  <si>
    <t>بلدية البشائر</t>
  </si>
  <si>
    <t>بلدية بارق</t>
  </si>
  <si>
    <t>بلدية بحرأبو سكينة</t>
  </si>
  <si>
    <t>بلدية وادي بن هشبل</t>
  </si>
  <si>
    <t>بلدية البرك</t>
  </si>
  <si>
    <t>بلدية الحازمي</t>
  </si>
  <si>
    <t>بلدية صبح بللحمر</t>
  </si>
  <si>
    <t>بلدية الفرشة</t>
  </si>
  <si>
    <t>بلدية قنا</t>
  </si>
  <si>
    <t>بلدية الصبيخة</t>
  </si>
  <si>
    <t>بلدية الثنية وتبالة</t>
  </si>
  <si>
    <t>بلدية النقيع</t>
  </si>
  <si>
    <t>بلدية صمخ</t>
  </si>
  <si>
    <t>بلدية بني عمرو</t>
  </si>
  <si>
    <t>بلدية الساحل</t>
  </si>
  <si>
    <t>بلدية الواديين</t>
  </si>
  <si>
    <t>بلدية الأمواه</t>
  </si>
  <si>
    <t>أمانة منطقة القصيم</t>
  </si>
  <si>
    <t>بلدية محافظة عنيزة</t>
  </si>
  <si>
    <t>بلدية محافظة الرس</t>
  </si>
  <si>
    <t>بلدية محافظة البكيرية</t>
  </si>
  <si>
    <t>بلدية محافظة المذنب</t>
  </si>
  <si>
    <t>بلدية محافظة الاسياح</t>
  </si>
  <si>
    <t>بلدية محافظة البدائع</t>
  </si>
  <si>
    <t>بلدية محافظة رياض الخبراء</t>
  </si>
  <si>
    <t>بلدية الخبراء والسحابين</t>
  </si>
  <si>
    <t>بلدية محافظة عيون الجواء</t>
  </si>
  <si>
    <t>بلدية ضرية</t>
  </si>
  <si>
    <t>بلدية البصر</t>
  </si>
  <si>
    <t>بلدية دخنة</t>
  </si>
  <si>
    <t>بلدية عقلة الصقور</t>
  </si>
  <si>
    <t>بلدية محافظة النبهانية</t>
  </si>
  <si>
    <t>بلدية محافظة الشماسية</t>
  </si>
  <si>
    <t>بلدية قبة</t>
  </si>
  <si>
    <t>بلدية القوارة</t>
  </si>
  <si>
    <t>(بلدية أبانات(ضليع رشيد</t>
  </si>
  <si>
    <t>بلدية الفوارة</t>
  </si>
  <si>
    <t>بلدية العمار</t>
  </si>
  <si>
    <t>بلدية شري</t>
  </si>
  <si>
    <t>بلدية الفويلق</t>
  </si>
  <si>
    <t>بلدية قصيبا</t>
  </si>
  <si>
    <t>بلدية قصر بن عقيل</t>
  </si>
  <si>
    <t>بلدية الدليمية</t>
  </si>
  <si>
    <t>بلدية الظاهرية</t>
  </si>
  <si>
    <t>بلدية البطين</t>
  </si>
  <si>
    <t>أمانة منطقة جازان</t>
  </si>
  <si>
    <t>بلدية محافظة صبياء</t>
  </si>
  <si>
    <t>بلدية فيفا</t>
  </si>
  <si>
    <t>بلدية محافظة ابى عريش</t>
  </si>
  <si>
    <t>بلدية محافطة بيش</t>
  </si>
  <si>
    <t>بلدية محافظة صامطة</t>
  </si>
  <si>
    <t>بلدية محافظة احد المسارحة</t>
  </si>
  <si>
    <t>بلدية الطوال</t>
  </si>
  <si>
    <t>بلدية محافظة فرسان</t>
  </si>
  <si>
    <t>بلدية وادى جازان</t>
  </si>
  <si>
    <t>بلدية الموسم</t>
  </si>
  <si>
    <t>بلدية محافظة ضمد</t>
  </si>
  <si>
    <t>بلدية محافظة العارضة</t>
  </si>
  <si>
    <t>بلدية محافظة الدرب</t>
  </si>
  <si>
    <t>بلدية الخوبة</t>
  </si>
  <si>
    <t>بلدية محافظة الدائر بني مالك</t>
  </si>
  <si>
    <t>بلدية الشقيق</t>
  </si>
  <si>
    <t>بلدية محافظة العيدابي</t>
  </si>
  <si>
    <t>بلدية هروب</t>
  </si>
  <si>
    <t>بلدية السهى</t>
  </si>
  <si>
    <t>بلدية محافظة الريث</t>
  </si>
  <si>
    <t>بلدية المضايا</t>
  </si>
  <si>
    <t>بلدية العالية</t>
  </si>
  <si>
    <t>بلدية الحقو</t>
  </si>
  <si>
    <t>بلدية قوز الجعافرة</t>
  </si>
  <si>
    <t>بلدية القفل</t>
  </si>
  <si>
    <t>أمانة منطقة الجوف</t>
  </si>
  <si>
    <t>بلدية محافظة القريات</t>
  </si>
  <si>
    <t>بلدية محافظة دومة الجندل</t>
  </si>
  <si>
    <t>بلدية طبرجل</t>
  </si>
  <si>
    <t>بلدية صوير</t>
  </si>
  <si>
    <t>بلدية العيساوية</t>
  </si>
  <si>
    <t>بلدية أبوعجرم</t>
  </si>
  <si>
    <t>بلدية الناصفة</t>
  </si>
  <si>
    <t>بلدية زلوم</t>
  </si>
  <si>
    <t>بلدية الحديثة</t>
  </si>
  <si>
    <t>أمانة منطقة تبوك</t>
  </si>
  <si>
    <t>بلدية محافظة تيماء</t>
  </si>
  <si>
    <t>بلدية محافظة املج</t>
  </si>
  <si>
    <t>بلدية محافظة ضباء</t>
  </si>
  <si>
    <t>بلدية محافظة الوجه</t>
  </si>
  <si>
    <t>بلدية محافظة حقل</t>
  </si>
  <si>
    <t>بلدية البدع</t>
  </si>
  <si>
    <t>بلدية بير بن هرماس</t>
  </si>
  <si>
    <t>بلدية القليبة</t>
  </si>
  <si>
    <t>بلدية شواق</t>
  </si>
  <si>
    <t>بلدية المنجور</t>
  </si>
  <si>
    <t>بلدية الشبحة</t>
  </si>
  <si>
    <t>بلدية بداء</t>
  </si>
  <si>
    <t>بلدية أبو راكه</t>
  </si>
  <si>
    <t>أمانة منطقة حائل</t>
  </si>
  <si>
    <t>بلدية محافظة بقعاء</t>
  </si>
  <si>
    <t>بلدية تربة بمنطقة حائل</t>
  </si>
  <si>
    <t>بلدية جبة</t>
  </si>
  <si>
    <t>بلدية الحائط</t>
  </si>
  <si>
    <t>بلدية الخطة</t>
  </si>
  <si>
    <t>بلدية الروضة</t>
  </si>
  <si>
    <t>بلدية السليمى</t>
  </si>
  <si>
    <t>بلدية الشملى</t>
  </si>
  <si>
    <t>بلدية الكهفة</t>
  </si>
  <si>
    <t>بلدية موقق</t>
  </si>
  <si>
    <t>بلدية سميراء</t>
  </si>
  <si>
    <t>بلدية محافظة الشنان</t>
  </si>
  <si>
    <t>بلدية محافظة الغزالة</t>
  </si>
  <si>
    <t>بلدية الحليفة السفلى</t>
  </si>
  <si>
    <t>بلدية فيد</t>
  </si>
  <si>
    <t>بلدية الأجفر</t>
  </si>
  <si>
    <t>بلدية انبوان</t>
  </si>
  <si>
    <t>أمانة منطقة الحدود الشمالية</t>
  </si>
  <si>
    <t>بلدية محافظة رفحاء</t>
  </si>
  <si>
    <t>بلدية محافظة طريف</t>
  </si>
  <si>
    <t>بلدية العويقيلة</t>
  </si>
  <si>
    <t>بلدية شعبة نصاب</t>
  </si>
  <si>
    <t>بلدية لينه</t>
  </si>
  <si>
    <t>بلدية طلعة التمياط</t>
  </si>
  <si>
    <t>بلدية قرية بن شريم</t>
  </si>
  <si>
    <t>بلدية روضة هباس</t>
  </si>
  <si>
    <t>بلدية أم خنصر</t>
  </si>
  <si>
    <t>أمانة منطقة الباحة</t>
  </si>
  <si>
    <t>بلدية محافظة بلجرشى</t>
  </si>
  <si>
    <t>بلدية محافظة قلوة</t>
  </si>
  <si>
    <t>بلدية محافظة المندق</t>
  </si>
  <si>
    <t>بلدية محافظة المخواة</t>
  </si>
  <si>
    <t>بلدية محافظة العقيق</t>
  </si>
  <si>
    <t>بلدية محافظة القرى</t>
  </si>
  <si>
    <t>بلدية بني كبير</t>
  </si>
  <si>
    <t>بلدية الحجرة</t>
  </si>
  <si>
    <t>بلدية غامد الزناد</t>
  </si>
  <si>
    <t>بلدية بني حسن</t>
  </si>
  <si>
    <t>بلدية معشوقة</t>
  </si>
  <si>
    <t>أمانة منطقة نجران</t>
  </si>
  <si>
    <t>بلدية محافظة شرورة</t>
  </si>
  <si>
    <t>بلدية محافظة يدمة</t>
  </si>
  <si>
    <t>بلدية محافظة حبونا</t>
  </si>
  <si>
    <t>بلدية سلطانة</t>
  </si>
  <si>
    <t>بلدية محافظة بدرالجنوب</t>
  </si>
  <si>
    <t>بلدية محافظة ثار</t>
  </si>
  <si>
    <t>بلدية محافظة خباش</t>
  </si>
  <si>
    <t>بلدية الوديعة</t>
  </si>
  <si>
    <t>بلدية الحصينية</t>
  </si>
  <si>
    <t>بلدية بئر عسكر</t>
  </si>
  <si>
    <t>أمانة محافظة الطائف</t>
  </si>
  <si>
    <t>بلدية محافظة تربة</t>
  </si>
  <si>
    <t>بلدية محافظة الخرمة</t>
  </si>
  <si>
    <t>بلدية محافظة رنية</t>
  </si>
  <si>
    <t>بلدية المويه</t>
  </si>
  <si>
    <t>بلدية ميسان</t>
  </si>
  <si>
    <t>بلدية بني سعد</t>
  </si>
  <si>
    <t>بلدية المحاني</t>
  </si>
  <si>
    <t>بلدية قيا</t>
  </si>
  <si>
    <t>بلدية القريع بني مالك</t>
  </si>
  <si>
    <t>بلدية ظلم</t>
  </si>
  <si>
    <t>أمانة محافظة الأحساء</t>
  </si>
  <si>
    <t>أمانة الأحساء</t>
  </si>
  <si>
    <t>بلدية يبرين</t>
  </si>
  <si>
    <t>بلدية سلوى</t>
  </si>
  <si>
    <t>بلدية البطحاء</t>
  </si>
  <si>
    <t>أمانة محافظة حفر الباطن</t>
  </si>
  <si>
    <t>بلدية القيصومة</t>
  </si>
  <si>
    <t>بلدية الصداوى</t>
  </si>
  <si>
    <t>بلدية الذييبية</t>
  </si>
  <si>
    <t>بلدية السعيرة</t>
  </si>
  <si>
    <t>وزارة الصحة - الديوان العام</t>
  </si>
  <si>
    <t>مدينة الملك سعود الطبية</t>
  </si>
  <si>
    <t>مدينة الملك فهد الطبية</t>
  </si>
  <si>
    <t>مستشفى الملك خالد التخصصي للعيون</t>
  </si>
  <si>
    <t>مستشفى الامير محمد بن عبدالعزيز بالرياض</t>
  </si>
  <si>
    <t>المركز السعودي لزراعة الأعضاء</t>
  </si>
  <si>
    <t>الشئون الصحية بمنطقة مكة المكرمة</t>
  </si>
  <si>
    <t>الشئون الصحية بمحافظة جدة</t>
  </si>
  <si>
    <t>الشئون الصحية بمحافظة الطائف</t>
  </si>
  <si>
    <t>الشؤؤن الصحية بمحافظة القنفذة</t>
  </si>
  <si>
    <t>المشاعر المقدسة</t>
  </si>
  <si>
    <t>صحة القصيم - إدارة المشتريات والمناقصات</t>
  </si>
  <si>
    <t>مديرية الشؤون الصحية بالأحساء</t>
  </si>
  <si>
    <t>مديرية الشئون الصحية بحفر الباطن</t>
  </si>
  <si>
    <t>مستشفى الملك فهد التخصصي بالدمام</t>
  </si>
  <si>
    <t>مدينة الملك خالد الطبية - المنطقة الشرقية</t>
  </si>
  <si>
    <t>المديرية العامة للشؤون الصحية بمنطقة عسير</t>
  </si>
  <si>
    <t>الشئون الصحية بمحافظة بيشة</t>
  </si>
  <si>
    <t>المديرية العامة للشؤون الصحية بمنطقة تبوك</t>
  </si>
  <si>
    <t>الشئون الصحية بمنطقة حائل</t>
  </si>
  <si>
    <t>المديرية العامة للشؤون الصحية بمنطقة جازان</t>
  </si>
  <si>
    <t>الشئون الصحية بمنطقة نجران</t>
  </si>
  <si>
    <t>المديرية العامة للشؤون الصحية بمنطقة الجوف</t>
  </si>
  <si>
    <t>مديرية الشئون الصحية بمحافظة القريات</t>
  </si>
  <si>
    <t>مدينة الأمير محمد بن عبد العزيز الطبية</t>
  </si>
  <si>
    <t>المركز السعودي لسلامة المرضى - وزارة الصحة</t>
  </si>
  <si>
    <t>التجمع الصحي الثالث بمنطقة القصيم</t>
  </si>
  <si>
    <t>التجمع الصحي الأول بالمنطقة الشرقية</t>
  </si>
  <si>
    <t>التجمع الصحي الأول بمنطقة الرياض</t>
  </si>
  <si>
    <t>وزارة الثقافة والإعلام - الديوان العام</t>
  </si>
  <si>
    <t>هيئة الإذاعة والتلفزيون</t>
  </si>
  <si>
    <t>وكالة الأنباء السعودية</t>
  </si>
  <si>
    <t>الهيئة العامة للإعلام المرئي والمسموع</t>
  </si>
  <si>
    <t>التعليم العام</t>
  </si>
  <si>
    <t>إدارة التربية والتعليم بمنطقة الرياض</t>
  </si>
  <si>
    <t>إدارة التربية والتعليم بمحافظة القويعية</t>
  </si>
  <si>
    <t>إدارة التربية والتعليم بمحافظة الدوادمي</t>
  </si>
  <si>
    <t>إدارة التربية والتعليم بمحافظة الغاط</t>
  </si>
  <si>
    <t>إدارة التربية والتعليم بمنطقة مكة المكرمة</t>
  </si>
  <si>
    <t>إدارة التربية والتعليم بمحافظة جدة</t>
  </si>
  <si>
    <t>إدارة التربية والتعليم بمحافظة الطائف</t>
  </si>
  <si>
    <t>إدارة التربية والتعليم بمحافظة القنفذة</t>
  </si>
  <si>
    <t>إدارة التربية والتعليم بمحافظة الليث</t>
  </si>
  <si>
    <t>إدارة التربية والتعليم بمحافظة العلا</t>
  </si>
  <si>
    <t>إدارة التربية والتعليم بمحافظة المهد</t>
  </si>
  <si>
    <t>إدارة التربية والتعليم بمنطقة القصيم</t>
  </si>
  <si>
    <t>إدارة التربية والتعليم بمحافظة عنيزة</t>
  </si>
  <si>
    <t>إدارة التربية والتعليم بمحافظة الرس</t>
  </si>
  <si>
    <t>إدارة التربية والتعليم بالمنطقة الشرقية</t>
  </si>
  <si>
    <t>إدارة التربية والتعليم بمحافظة الأحساء</t>
  </si>
  <si>
    <t>إدارة التربية والتعليم بمحافظة حفر الباطن</t>
  </si>
  <si>
    <t>إدارة التربية والتعليم بمنطقة عسير</t>
  </si>
  <si>
    <t>إدارة التربية والتعليم بمحافظة بيشة</t>
  </si>
  <si>
    <t>إدارة التربية والتعليم بمحافظة النماص</t>
  </si>
  <si>
    <t>إدارة التربية والتعليم بمحافظة محايل عسير</t>
  </si>
  <si>
    <t>إدارة التربية والتعليم بمحافظة رجال المع</t>
  </si>
  <si>
    <t>إدارة التربية والتعليم بمحافظة سراة عبيدة</t>
  </si>
  <si>
    <t>إدارة التربية والتعليم بمنطقة الجوف</t>
  </si>
  <si>
    <t>إدارة التربية والتعليم بمحافظة القريات</t>
  </si>
  <si>
    <t>إدارة التربية والتعليم بمنطقة الباحة</t>
  </si>
  <si>
    <t>إدارة التربية والتعليم بمحافظة المخواة</t>
  </si>
  <si>
    <t>إدارة التربية والتعليم بمنطقة حائل</t>
  </si>
  <si>
    <t>إدارة التربية والتعليم بمنطقة تبوك</t>
  </si>
  <si>
    <t>إدارة التربية والتعليم بمنطقة جازان</t>
  </si>
  <si>
    <t>إدارة التربية والتعليم بمحافظة صبيا</t>
  </si>
  <si>
    <t>إدارة التربية والتعليم بمنطقة نجران</t>
  </si>
  <si>
    <t>التعليم</t>
  </si>
  <si>
    <t>إدارة التعليم بمنطقة الرياض</t>
  </si>
  <si>
    <t>إدارة التعليم بمحافظة الخرج</t>
  </si>
  <si>
    <t>إدارة التعليم بمحافظتي الحوطة و الحريق</t>
  </si>
  <si>
    <t>إدارة التعليم بمحافظة القويعية</t>
  </si>
  <si>
    <t>إدارة التعليم بمحافظة المجمعة</t>
  </si>
  <si>
    <t>إدارة التعليم بمحافظة شقراء</t>
  </si>
  <si>
    <t>إدارة التعليم بمحافظة الدوادمي</t>
  </si>
  <si>
    <t>إدارة التعليم بمحافظة عفيف</t>
  </si>
  <si>
    <t>إدارة التعليم بمحافظة الإفلاج</t>
  </si>
  <si>
    <t>إدارة التعليم بمحافظة الزلفي</t>
  </si>
  <si>
    <t>إدارة التعليم بمحافظة وادي الدواسر</t>
  </si>
  <si>
    <t>إدارة التعليم بمحافظة الغاط</t>
  </si>
  <si>
    <t>إدارة التعليم بمنطقة مكة المكرمة</t>
  </si>
  <si>
    <t>إدارة التعليم بمحافظة جدة</t>
  </si>
  <si>
    <t>إدارة التعليم بمحافظة الطائف</t>
  </si>
  <si>
    <t>إدارة التعليم بمحافظة القنفذة</t>
  </si>
  <si>
    <t>إدارة التعليم بمحافظة الليث</t>
  </si>
  <si>
    <t>إدارة التعليم بمنطقة المدينة المنورة</t>
  </si>
  <si>
    <t>إدارة التعليم بمحافظة ينبع</t>
  </si>
  <si>
    <t>إدارة التعليم بمحافظة العلا</t>
  </si>
  <si>
    <t>إدارة التعليم بمحافظة المهد</t>
  </si>
  <si>
    <t>إدارة التعليم بمنطقة القصيم</t>
  </si>
  <si>
    <t>إدارة التعليم بمحافظة عنيزة</t>
  </si>
  <si>
    <t>إدارة التعليم بمحافظة الرس</t>
  </si>
  <si>
    <t>إدارة التعليم بمحافظة المذنب</t>
  </si>
  <si>
    <t>إدارة التعليم بمحافظة البكيرية</t>
  </si>
  <si>
    <t>إدارة التعليم بالمنطقة الشرقية</t>
  </si>
  <si>
    <t>إدارة التعليم بمحافظة الأحساء</t>
  </si>
  <si>
    <t>إدارة التعليم بمحافظة حفر الباطن</t>
  </si>
  <si>
    <t>إدارة التعليم بمنطقة عسير</t>
  </si>
  <si>
    <t>إدارة التعليم بمحافظة بيشة</t>
  </si>
  <si>
    <t>إدارة التعليم بمحافظة النماص</t>
  </si>
  <si>
    <t>إدارة التعليم بمحافظة محايل عسير</t>
  </si>
  <si>
    <t>إدارة التعليم بمحافظة رجال ألمع</t>
  </si>
  <si>
    <t>إدارة التعليم بمحافظة سراة عبيدة</t>
  </si>
  <si>
    <t>إدارة التعليم بمنطقة الجوف</t>
  </si>
  <si>
    <t>إدارة التعليم بمحافظة القريات</t>
  </si>
  <si>
    <t>إدارة التعليم بمنطقة الباحة</t>
  </si>
  <si>
    <t>إدارة التعليم بمحافظة المخواة</t>
  </si>
  <si>
    <t>إدارة التعليم بمنطقة حائل</t>
  </si>
  <si>
    <t>إدارة التعليم بمنطقة تبوك</t>
  </si>
  <si>
    <t>إدارة التعليم بمنطقة الحدود الشمالية</t>
  </si>
  <si>
    <t>إدارة التعليم بمنطقة جازان</t>
  </si>
  <si>
    <t>إدارة التعليم بمحافظة صبيا</t>
  </si>
  <si>
    <t>إدارة التعليم بمنطقة نجران</t>
  </si>
  <si>
    <t>إدارة التعليم بمحافظة ظهران الجنوب</t>
  </si>
  <si>
    <t>إدارة التعليم بمحافظة شرورة</t>
  </si>
  <si>
    <t>جامعة الملك سعود</t>
  </si>
  <si>
    <t>جامعة الملك عبدالعزيز</t>
  </si>
  <si>
    <t>جامعة الملك فهد للبترول والمعادن</t>
  </si>
  <si>
    <t>جامعة الامام محمد بن سعود</t>
  </si>
  <si>
    <t>جامعة الملك فيصل</t>
  </si>
  <si>
    <t>جامعة أم القرى</t>
  </si>
  <si>
    <t>الجامعة الاسلامية</t>
  </si>
  <si>
    <t>جامعة الملك خالد</t>
  </si>
  <si>
    <t>جامعة طيبة</t>
  </si>
  <si>
    <t>جامعة القصيم</t>
  </si>
  <si>
    <t>جامعة الطائف</t>
  </si>
  <si>
    <t>جامعة جازان</t>
  </si>
  <si>
    <t>جامعة الجوف</t>
  </si>
  <si>
    <t>جامعة حائل</t>
  </si>
  <si>
    <t>جامعة تبوك</t>
  </si>
  <si>
    <t>جامعة الباحة</t>
  </si>
  <si>
    <t>جامعة نجران</t>
  </si>
  <si>
    <t>جامعة الأميرة نورة بنت عبدالرحمن</t>
  </si>
  <si>
    <t>جامعة الحدود الشمالية</t>
  </si>
  <si>
    <t>جامعة الإمام عبدالرحمن بن فيصل</t>
  </si>
  <si>
    <t>جامعة الأمير سطام بن عبدالعزيز</t>
  </si>
  <si>
    <t>جامعة المجمعة</t>
  </si>
  <si>
    <t>جامعة شقراء</t>
  </si>
  <si>
    <t>الجامعة السعودية الالكترونية</t>
  </si>
  <si>
    <t>جامعة جدة</t>
  </si>
  <si>
    <t>جامعة حفر الباطن</t>
  </si>
  <si>
    <t>جامعة بيشة</t>
  </si>
  <si>
    <t>وزارة النقل - الديوان العام</t>
  </si>
  <si>
    <t>المؤسسة العامة للخطوط الحديدية</t>
  </si>
  <si>
    <t>هيئة النقل العام</t>
  </si>
  <si>
    <t>مؤسسة البريد السعودي</t>
  </si>
  <si>
    <t>هيئة الاتصالات وتقنية المعلومات</t>
  </si>
  <si>
    <t>وزارة الطاقة</t>
  </si>
  <si>
    <t>الطاقة فرع الشرقية</t>
  </si>
  <si>
    <t>وزارة الصناعة والثروة المعدنية</t>
  </si>
  <si>
    <t>الثروة المعدنية</t>
  </si>
  <si>
    <t>التجمعات الصناعية</t>
  </si>
  <si>
    <t>هيئة المساحة الجيولوجية السعودية</t>
  </si>
  <si>
    <t>وزارة التجارة والاستثمار - الديوان العام</t>
  </si>
  <si>
    <t>الهيئة العامة للمعارض والمؤتمرات</t>
  </si>
  <si>
    <t>لجنة الإفلاس</t>
  </si>
  <si>
    <t>هيئة تنمية الصادرات السعودية</t>
  </si>
  <si>
    <t>الهيئة العامة للمنشآت الصغيرة والمتوسطة</t>
  </si>
  <si>
    <t>المركز الوطني للتنافسية</t>
  </si>
  <si>
    <t>الهيئة العامة للتجارة الخارجية</t>
  </si>
  <si>
    <t>المركز السعودي للاعمال الاقتصادية</t>
  </si>
  <si>
    <t>المركز السعودي للاعتماد</t>
  </si>
  <si>
    <t>الزراعة</t>
  </si>
  <si>
    <t>المؤسسة العامة للري</t>
  </si>
  <si>
    <t>المؤسسة العامة للحبوب</t>
  </si>
  <si>
    <t>وزارة العدل</t>
  </si>
  <si>
    <t>وزارة العدل - الديوان العام</t>
  </si>
  <si>
    <t>فرع الوزارة بمنطقة الرياض</t>
  </si>
  <si>
    <t>الديوان العام</t>
  </si>
  <si>
    <t>الهيئة السعودية للمحاميين</t>
  </si>
  <si>
    <t>الرئاسة العامة للبحوث العلمية والإفتاء</t>
  </si>
  <si>
    <t>وزارة المالية - الديوان العام</t>
  </si>
  <si>
    <t>برنامج الأنظمة المالية الوطنية</t>
  </si>
  <si>
    <t>مصلحة الجمارك العامة</t>
  </si>
  <si>
    <t>هيئة الزكاة والدخل</t>
  </si>
  <si>
    <t>صندوق التنمية الصناعية</t>
  </si>
  <si>
    <t>الصندوق السعودي للتنمية</t>
  </si>
  <si>
    <t>صندوق التنمية السياحي</t>
  </si>
  <si>
    <t>الهيئة السعودية للحياة الفطرية</t>
  </si>
  <si>
    <t>وزارة الشـؤون الاسلامية والدعوة والارشاد</t>
  </si>
  <si>
    <t>وزارة الحج والعمرة</t>
  </si>
  <si>
    <t>مكتب برنامج خدمة ضيوف الرحمن</t>
  </si>
  <si>
    <t>البرامج والمرافق الحكومية</t>
  </si>
  <si>
    <t>الرواتب الذاتية والقواعد العامة</t>
  </si>
  <si>
    <t>مصروفات الطوارىء</t>
  </si>
  <si>
    <t>اعانة الاعلاف</t>
  </si>
  <si>
    <t>اعانة المدارس الاهلية</t>
  </si>
  <si>
    <t>إعانة نادي الإبل</t>
  </si>
  <si>
    <t>شراء اراضى للاستخدام الحكومى</t>
  </si>
  <si>
    <t>تسديد اقساط وعوائد سندات التنمية</t>
  </si>
  <si>
    <t>وزارة الاستثمار</t>
  </si>
  <si>
    <t>وزارة السياحة</t>
  </si>
  <si>
    <t>الهيئة السعودية للسياحة</t>
  </si>
  <si>
    <t>المؤسسة العامة للتقاعد</t>
  </si>
  <si>
    <t>الهيئة العامة للأرصاد وحماية البيئة</t>
  </si>
  <si>
    <t>المياه و الزراعة</t>
  </si>
  <si>
    <t>المؤسسة العامة لتحلية المياه المالحة</t>
  </si>
  <si>
    <t>مركز التدريب بالجبيل</t>
  </si>
  <si>
    <t>معهد الأبحاث وتقنيات التحلية</t>
  </si>
  <si>
    <t>المركز الوطني للنخيل والتمور</t>
  </si>
  <si>
    <t>المركز الوطني للأرصاد</t>
  </si>
  <si>
    <t>المركز الوطني لتنمية الحياة الفطرية</t>
  </si>
  <si>
    <t>المركز الوطني لإدارة النفايات</t>
  </si>
  <si>
    <t>الهيئة العامة للغذاء والدواء</t>
  </si>
  <si>
    <t>العمل</t>
  </si>
  <si>
    <t>المؤسسة العامة للتدريب التقني والمهني</t>
  </si>
  <si>
    <t>العمل والتنمية الاجتماعية</t>
  </si>
  <si>
    <t>هيئة حقوق الانسان</t>
  </si>
  <si>
    <t>وزارة الاسكان</t>
  </si>
  <si>
    <t>المجلس الأعلى للقضاء</t>
  </si>
  <si>
    <t>دارة الملك عبدالعزيز</t>
  </si>
  <si>
    <t>الهيئة الوطنية لمكافحة الفساد</t>
  </si>
  <si>
    <t>هيئة الهلال الأحمر السعودي</t>
  </si>
  <si>
    <t>فرع الهيئة بمنطقة الرياض</t>
  </si>
  <si>
    <t>فرع الهيئة بالمنطقة الشرقية</t>
  </si>
  <si>
    <t>فرع الهيئة بمنطقة القصيم</t>
  </si>
  <si>
    <t>فرع الهيئة بمنطقة تبوك</t>
  </si>
  <si>
    <t>فرع الهيئة بمنطقة عسير</t>
  </si>
  <si>
    <t>فرع الهيئة بمنطقة نجران</t>
  </si>
  <si>
    <t>وحدة التحول الوطني</t>
  </si>
  <si>
    <t>الهيئة العامة للطيران المدني</t>
  </si>
  <si>
    <t>صندوق التنمية العقارية</t>
  </si>
  <si>
    <t>هيئة تقويم التعليم</t>
  </si>
  <si>
    <t>المجلس الصحي السعودي والمراكز التابعة له</t>
  </si>
  <si>
    <t>بنك التنمية الاجتماعية</t>
  </si>
  <si>
    <t>الهيئة العامة للترفيه</t>
  </si>
  <si>
    <t>الهيئة العامة للعقار</t>
  </si>
  <si>
    <t>الهيئة العامة للثقافة</t>
  </si>
  <si>
    <t>هيئة تنظيم الكهرباء والإنتاج المزدوج</t>
  </si>
  <si>
    <t>الديوان العام لرئاسة أمن الدولة</t>
  </si>
  <si>
    <t>مركز المعلومات الوطني</t>
  </si>
  <si>
    <t>القيادة العامة لطيران الأمن</t>
  </si>
  <si>
    <t>إدارة الشؤون الفنية</t>
  </si>
  <si>
    <t>الإدارة العامة للإمداد والتموين</t>
  </si>
  <si>
    <t>الإدارة العامة للاتصالات وتقنية المعلومات</t>
  </si>
  <si>
    <t>المباحث العامة</t>
  </si>
  <si>
    <t>المباحث العامة (الجهاز الرئيسي)</t>
  </si>
  <si>
    <t>المباحث الإدارية</t>
  </si>
  <si>
    <t>قوات الطوارىء الخاصة</t>
  </si>
  <si>
    <t>قوات الأمن الخاصة</t>
  </si>
  <si>
    <t>الهيئة الوطنية للأمن السيبراني</t>
  </si>
  <si>
    <t>الهيئة الملكية لمحافظة العلا</t>
  </si>
  <si>
    <t>النيابة العامة</t>
  </si>
  <si>
    <t>وزارة الثقافة-الديوان العام</t>
  </si>
  <si>
    <t>المجلس الثقافي البريطاني</t>
  </si>
  <si>
    <t>جامعة أم القرى*</t>
  </si>
  <si>
    <t>جامعة ام القرى - مركز خدمة المجتمع</t>
  </si>
  <si>
    <t>الاتحاد السعودي للجولف</t>
  </si>
  <si>
    <t>التحلية - سلفة إدارة مركز التدريب</t>
  </si>
  <si>
    <t>الجمعية السعودية للمحافظة على التراث*</t>
  </si>
  <si>
    <t>جامعة نايف العربية للعلوم الامنية*</t>
  </si>
  <si>
    <t>معهد الادارة العامة- مركز الاعمال</t>
  </si>
  <si>
    <t>مدينة الملك عبدالعزيز للعلوم والتقنيه</t>
  </si>
  <si>
    <t>الهيئة السعودية للمقيمين المعتمدين</t>
  </si>
  <si>
    <t>الجمعية الفيصلية الخيرية النسوية بجدة</t>
  </si>
  <si>
    <t>الهيئة العامة للمنافسة</t>
  </si>
  <si>
    <t>جامعة دار الحكمة الاهلية</t>
  </si>
  <si>
    <t>جمعية المودة للتنمية الأسرية</t>
  </si>
  <si>
    <t>مركز برنامج جودة الحياة</t>
  </si>
  <si>
    <t>هيئة تطوير منطقة حائل</t>
  </si>
  <si>
    <t>سلفة ادارة مركز التدريب</t>
  </si>
  <si>
    <t>المؤسسة العامة لتحلية المياه</t>
  </si>
  <si>
    <t>جامعة الملك عبدالله للعلوم والتقنية</t>
  </si>
  <si>
    <t>هيئة تطوير مكة</t>
  </si>
  <si>
    <t>مكتب إدارة مشاريع محافظة جدة</t>
  </si>
  <si>
    <t>جامعة الامام عبدالرحمن بن فيصل*</t>
  </si>
  <si>
    <t>جامعة الامام عبدالرحمن بن فيصل**</t>
  </si>
  <si>
    <t>جامعة الامام عبدالرحمن بن فيصل</t>
  </si>
  <si>
    <t>هيئة تطوير منطقة المدينة المنورة</t>
  </si>
  <si>
    <t>هيئة تطوير مدينة الرياض</t>
  </si>
  <si>
    <t>الهيئة السعودية للمحاسبين القانونيين</t>
  </si>
  <si>
    <t>هيئة تطوير المنطقة الشرقية</t>
  </si>
  <si>
    <t>هيئة تطويرمنطقة عسير</t>
  </si>
  <si>
    <t>المركز السعودي لكفاءة الطاقة</t>
  </si>
  <si>
    <t>الهيئة العامة للصناعات العسكرية</t>
  </si>
  <si>
    <t>هيئة المساحة الجولوجية السعودية**</t>
  </si>
  <si>
    <t>هيئة الرقابة النووية والإشعاعية</t>
  </si>
  <si>
    <t>الهيئة السعودية للملكية الفكرية</t>
  </si>
  <si>
    <t>الهيئة العامة لعقارات الدولة</t>
  </si>
  <si>
    <t>معهد الدراسات والخدمات الاستشارية</t>
  </si>
  <si>
    <t>جامعة الفيصل</t>
  </si>
  <si>
    <t>هيئة حي السفارات</t>
  </si>
  <si>
    <t>هيئة تطوير بوابة الدرعية</t>
  </si>
  <si>
    <t>الاكاديمية المالية</t>
  </si>
  <si>
    <t>جمعية البر الخيرية بساجر الصدقات</t>
  </si>
  <si>
    <t>مركز الإقامة المميزة</t>
  </si>
  <si>
    <t>هيئة تنظيم الكهرباء والانتاج المزدوج</t>
  </si>
  <si>
    <t>مؤسسة البريد السعودي*120150076000210</t>
  </si>
  <si>
    <t>الهيئة السعودية للتخصصات الصحية</t>
  </si>
  <si>
    <t>المعهد العالي للصناعات البلاستيكية</t>
  </si>
  <si>
    <t>المؤسسة العامة للتأمينات الاجتماعية*</t>
  </si>
  <si>
    <t>الهيئة السعودية للفضاء</t>
  </si>
  <si>
    <t>الجمعية السعودية للزراعة العضوية</t>
  </si>
  <si>
    <t>جمعية التعاونية الصحية رفادة تحت التاسيس</t>
  </si>
  <si>
    <t>جامعة نايف العربية للعلوم الامنية***</t>
  </si>
  <si>
    <t>الاكاديمية الوطنية لتقنية المعلومات</t>
  </si>
  <si>
    <t>دارة الملك عبدالعزيز**</t>
  </si>
  <si>
    <t>المركز الوطني للتخصيص</t>
  </si>
  <si>
    <t>الهيئة السعودية للمحاسبين القانونيين*</t>
  </si>
  <si>
    <t>جامعة الملك عبدالعزيز المستحقات</t>
  </si>
  <si>
    <t>الأبحاث والدراسات -جامعة الملك سعود</t>
  </si>
  <si>
    <t>مركز التميز لامن المعلومات</t>
  </si>
  <si>
    <t>جمعية ريادة الاعمال</t>
  </si>
  <si>
    <t>جامعة الملك سعود - دار الجامعة للنشر</t>
  </si>
  <si>
    <t>هيئة المدن الاقتصادية</t>
  </si>
  <si>
    <t>معهد البحوث والدراسات الاستشارية*</t>
  </si>
  <si>
    <t>المؤسسة العامة للتأمينات الاجتماعية</t>
  </si>
  <si>
    <t>مركز التعليم المستمر</t>
  </si>
  <si>
    <t>مركز البحوث والاستشارات بجامعة الطائف</t>
  </si>
  <si>
    <t>جامعة الملك فيصل - حساب الوفورات</t>
  </si>
  <si>
    <t>جامعة طيبة - بحوث والاستشارات</t>
  </si>
  <si>
    <t>مركز الإعتماد الخليجي</t>
  </si>
  <si>
    <t>جمعية التنمية الاسرية بتبوك*</t>
  </si>
  <si>
    <t>الهيئة السعودية للبيانات والذكاء الاصطناعي</t>
  </si>
  <si>
    <t>بنك التصدير والإستيراد السعودي</t>
  </si>
  <si>
    <t>منسوبي جامعة تبوك*</t>
  </si>
  <si>
    <t>النادي الادبي بجازان - 44111158000204</t>
  </si>
  <si>
    <t>مركز خدمة المجتمع والتدريب المستمر</t>
  </si>
  <si>
    <t>صندوق التنمية الوطني</t>
  </si>
  <si>
    <t>الهيئة العامة للأوقاف</t>
  </si>
  <si>
    <t>معهد البحوث والاستشارات بجامعة جدة</t>
  </si>
  <si>
    <t>جامعة الملك عبدالعزيز استشارات وتدريب</t>
  </si>
  <si>
    <t>المركز الوطني للتعليم الالكتروني</t>
  </si>
  <si>
    <t>جمعية تحفيظ القران الكريم بالمظيلف</t>
  </si>
  <si>
    <t>المركز الوطني للتنمية الصناعية</t>
  </si>
  <si>
    <t>الجمعية السعودية للإستزراع المائي</t>
  </si>
  <si>
    <t>الجمعية السعودية للمراجعين الداخليين</t>
  </si>
  <si>
    <t>جامعة الامير سطام بن عبدالعزيز</t>
  </si>
  <si>
    <t>الغرفة التجارية الصناعية**</t>
  </si>
  <si>
    <t>جامعة المجمعة صندوق الإستثمار</t>
  </si>
  <si>
    <t>الجمعية الخيرية لتطوير العمل التنموي</t>
  </si>
  <si>
    <t>الجمعية العلمية القضائية السعودية</t>
  </si>
  <si>
    <t>جامعة حائل معهد البحوث</t>
  </si>
  <si>
    <t>الهيئة العامة لحي السفارات*</t>
  </si>
  <si>
    <t>مركز الدراسات والبحوث القانونية</t>
  </si>
  <si>
    <t>جمعية آفاق الخضراء البيئية</t>
  </si>
  <si>
    <t>مركز الملك فيصل للبحوث والدراسات</t>
  </si>
  <si>
    <t>اوقاف جامعة الملك سعود</t>
  </si>
  <si>
    <t>معهد التنمية والخدمات الإستشارية</t>
  </si>
  <si>
    <t>مركز الملك عبدالعزيز للحوار الوطني</t>
  </si>
  <si>
    <t>المركز السعودي للإعتماد</t>
  </si>
  <si>
    <t>كلية الدراسات التطبيقية وخدمة المجتمع</t>
  </si>
  <si>
    <t>الهيئة السعودية للمقيمين المعتمدين*</t>
  </si>
  <si>
    <t>جامعة حفر الباطن *</t>
  </si>
  <si>
    <t>مؤسسة الجزيرة للصحافة والطباعة والنشر</t>
  </si>
  <si>
    <t>مؤسسة عكاظ للصحافة والنشر</t>
  </si>
  <si>
    <t>مؤسسة عكاظ للصحافة والنشر*</t>
  </si>
  <si>
    <t>مؤسسة الدعوة الاسلامية الصحفية*</t>
  </si>
  <si>
    <t>مؤسسة مكة المكرمة للطباعة والاعلام</t>
  </si>
  <si>
    <t>المعهد الوطني للتدريب الصناعي</t>
  </si>
  <si>
    <t>مدينة الملك فيصل العسكرية</t>
  </si>
  <si>
    <t>مستشفى الملك عبدالله بن عبدالعزيز الجامعي</t>
  </si>
  <si>
    <t>مستشفى الملك فهد للقوات المسلحة - بجدة</t>
  </si>
  <si>
    <t>هيئة تطوير منطقة مكة المكرمة</t>
  </si>
  <si>
    <t>مجمع الأمل للصحة النفسية بالرياض</t>
  </si>
  <si>
    <t>صندوق التنمية الزراعية</t>
  </si>
  <si>
    <t>المركز الوطني للقياس</t>
  </si>
  <si>
    <t>أدارة الموارد الذاتية بصحة جدة</t>
  </si>
  <si>
    <t>المركز السعودي لسلامة المرضى</t>
  </si>
  <si>
    <t>صندوق اسكان قوى الامن الداخلي بعرعر وطريف</t>
  </si>
  <si>
    <t>وزارة المالية – مكتب تحقيق الرؤية</t>
  </si>
  <si>
    <t>اسكان قوى الامن الداخلي بالظهران</t>
  </si>
  <si>
    <t>المركز الوطني للتقويم والاعتماد الاكاديمي</t>
  </si>
  <si>
    <t>اسكان قوى الامن بتبوك</t>
  </si>
  <si>
    <t>الشركة الوطنية للاسكان</t>
  </si>
  <si>
    <t>صندوق تنمية الموارد البشرية</t>
  </si>
  <si>
    <t>مكتب تحقيق الرؤية وزارة التعليم - VRO</t>
  </si>
  <si>
    <t>وزارة الاسكان - VRO</t>
  </si>
  <si>
    <t>الهيئة العامة للإعلام المرئي والمسموع - VRO</t>
  </si>
  <si>
    <t>المياه و الزراعة - VRO</t>
  </si>
  <si>
    <t>الهيئة العامة للمنشآت الصغيرة والمتوسطة - VRO</t>
  </si>
  <si>
    <t>معهد الادارة العامة - VRO</t>
  </si>
  <si>
    <t>وزارة الصحة - الديوان العام - VRO</t>
  </si>
  <si>
    <t>وزارة الطاقة - VRO</t>
  </si>
  <si>
    <t>العمل والتنمية الاجتماعية - VRO</t>
  </si>
  <si>
    <t>وزارة المالية - الديوان العام - VRO</t>
  </si>
  <si>
    <t>وزارة النقل - الديوان العام - VRO</t>
  </si>
  <si>
    <t>وزارة الشئون البلدية والقروية - VRO</t>
  </si>
  <si>
    <t>وزارة الداخلية - الديوان العام - VRO</t>
  </si>
  <si>
    <t>وزارة السياحة - VRO</t>
  </si>
  <si>
    <t>مركز برنامج جودة الحياة - VRO</t>
  </si>
  <si>
    <t>مكتب برنامج خدمة ضيوف الرحمن - VRO</t>
  </si>
  <si>
    <t>الهيئة العامة للترفيه - VRO</t>
  </si>
  <si>
    <t>الهيئة العامة للثقافة - VRO</t>
  </si>
  <si>
    <t>هيئة تطوير منطقة المدينة المنورة - VRO</t>
  </si>
  <si>
    <t>نوع الاتفاقية</t>
  </si>
  <si>
    <t>مفتوحة</t>
  </si>
  <si>
    <t>مغلقة</t>
  </si>
  <si>
    <t>الجهات المستفيدة</t>
  </si>
  <si>
    <t>مدة الاتفاقية</t>
  </si>
  <si>
    <t>أيام</t>
  </si>
  <si>
    <t>شهور</t>
  </si>
  <si>
    <t>سنوات</t>
  </si>
  <si>
    <t>المبنى</t>
  </si>
  <si>
    <t>الطابق</t>
  </si>
  <si>
    <t>الغرفة / اسم الإدارة</t>
  </si>
  <si>
    <t>تاريخ التسليم</t>
  </si>
  <si>
    <t>وقت التسليم</t>
  </si>
  <si>
    <t>لجنة الرد على الاستفسارات الفنية</t>
  </si>
  <si>
    <t>لجنة الرد على الاستفسارات التقنية</t>
  </si>
  <si>
    <t>لجنة الرد على الاستفسارات المالية</t>
  </si>
  <si>
    <t>إدارة تقنية المعلومات</t>
  </si>
  <si>
    <t>لجنة فتح المظاريف الاولى</t>
  </si>
  <si>
    <t>لجنة فحص العروض الاولى</t>
  </si>
  <si>
    <t>مشروع صيانة وتشغيل أجهزة وخوادم وبرامج الحاسب الآلي وملحقاتها بالمراسم الملكية لمدة خمس سنوات ميلادية 200740199979</t>
  </si>
  <si>
    <t>المسار الاعتيادي</t>
  </si>
  <si>
    <t>المسار للقيمه المنخفضه</t>
  </si>
  <si>
    <t>سبب اختيار نوع المنافسة (شراء مباشر)</t>
  </si>
  <si>
    <t>سبب اختيار نوع المنافسة (منافسة محدودة)</t>
  </si>
  <si>
    <t xml:space="preserve"> اعمال مشتريات لا تتوفر إلا لدى عدد محدود من المقاولين أو الموردين أو المتعهدين</t>
  </si>
  <si>
    <t xml:space="preserve"> أعمال ومشتريات تبلغ قيمتها التقديرية خمسمائة ألف ريال فأقل</t>
  </si>
  <si>
    <t>الأعمال والمشتريات  المطلوبة عاجلا</t>
  </si>
  <si>
    <t xml:space="preserve">أعمال ومشتريات تقدم  من قبل الكيانات غير الربحية </t>
  </si>
  <si>
    <t>الدول</t>
  </si>
  <si>
    <t>AW:آروبا</t>
  </si>
  <si>
    <t>AZ:أذربيجان</t>
  </si>
  <si>
    <t>AM:أرمينيا</t>
  </si>
  <si>
    <t>ES:أسبانيا</t>
  </si>
  <si>
    <t>AU:أستراليا</t>
  </si>
  <si>
    <t>AF:أفغانستان</t>
  </si>
  <si>
    <t>AL:ألبانيا</t>
  </si>
  <si>
    <t>DE:ألمانيا</t>
  </si>
  <si>
    <t>AG:أنتيجوا وبربودا</t>
  </si>
  <si>
    <t>AO:أنجولا</t>
  </si>
  <si>
    <t>AI:أنجويلا</t>
  </si>
  <si>
    <t>AD:أندورا</t>
  </si>
  <si>
    <t>UY:أورجواي</t>
  </si>
  <si>
    <t>UZ:أوزبكستان</t>
  </si>
  <si>
    <t>UG:أوغندا</t>
  </si>
  <si>
    <t>UA:أوكرانيا</t>
  </si>
  <si>
    <t>IE:أيرلندا</t>
  </si>
  <si>
    <t>IS:أيسلندا</t>
  </si>
  <si>
    <t>ET:اثيوبيا</t>
  </si>
  <si>
    <t>ER:اريتريا</t>
  </si>
  <si>
    <t>EE:استونيا</t>
  </si>
  <si>
    <t>PN:فلسطين</t>
  </si>
  <si>
    <t>AR:الأرجنتين</t>
  </si>
  <si>
    <t>JO:الأردن</t>
  </si>
  <si>
    <t>EC:الاكوادور</t>
  </si>
  <si>
    <t>AE:الامارات العربية المتحدة</t>
  </si>
  <si>
    <t>BS:الباهاما</t>
  </si>
  <si>
    <t>BH:البحرين</t>
  </si>
  <si>
    <t>BR:البرازيل</t>
  </si>
  <si>
    <t>PT:البرتغال</t>
  </si>
  <si>
    <t>BA:البوسنة والهرسك</t>
  </si>
  <si>
    <t>GA:الجابون</t>
  </si>
  <si>
    <t>ME:الجبل الأسود</t>
  </si>
  <si>
    <t>DZ:الجزائر</t>
  </si>
  <si>
    <t>DK:الدانمرك</t>
  </si>
  <si>
    <t>CV:الرأس الأخضر</t>
  </si>
  <si>
    <t>SV:السلفادور</t>
  </si>
  <si>
    <t>SN:السنغال</t>
  </si>
  <si>
    <t>SD:السودان</t>
  </si>
  <si>
    <t>SE:السويد</t>
  </si>
  <si>
    <t>EH:الصحراء الغربية</t>
  </si>
  <si>
    <t>SO:الصومال</t>
  </si>
  <si>
    <t>CN:الصين</t>
  </si>
  <si>
    <t>IQ:العراق</t>
  </si>
  <si>
    <t>VA:الفاتيكان</t>
  </si>
  <si>
    <t>PH:الفيلبين</t>
  </si>
  <si>
    <t>AQ:القطب الجنوبي</t>
  </si>
  <si>
    <t>CM:الكاميرون</t>
  </si>
  <si>
    <t>CG:الكونغو - برازافيل</t>
  </si>
  <si>
    <t>KW:الكويت</t>
  </si>
  <si>
    <t>HU:المجر</t>
  </si>
  <si>
    <t>IO:المحيط الهندي البريطاني</t>
  </si>
  <si>
    <t>MA:المغرب</t>
  </si>
  <si>
    <t>TF:المقاطعات الجنوبية الفرنسية</t>
  </si>
  <si>
    <t>MX:المكسيك</t>
  </si>
  <si>
    <t>SA:المملكة العربية السعودية</t>
  </si>
  <si>
    <t>GB:المملكة المتحدة</t>
  </si>
  <si>
    <t>NO:النرويج</t>
  </si>
  <si>
    <t>AT:النمسا</t>
  </si>
  <si>
    <t>NE:النيجر</t>
  </si>
  <si>
    <t>IN:الهند</t>
  </si>
  <si>
    <t>US:الولايات المتحدة الأمريكية</t>
  </si>
  <si>
    <t>JP:اليابان</t>
  </si>
  <si>
    <t>YE:اليمن</t>
  </si>
  <si>
    <t>GR:اليونان</t>
  </si>
  <si>
    <t>ID:اندونيسيا</t>
  </si>
  <si>
    <t>IR:ايران</t>
  </si>
  <si>
    <t>IT:ايطاليا</t>
  </si>
  <si>
    <t>PG:بابوا غينيا الجديدة</t>
  </si>
  <si>
    <t>PY:باراجواي</t>
  </si>
  <si>
    <t>PK:باكستان</t>
  </si>
  <si>
    <t>PW:بالاو</t>
  </si>
  <si>
    <t>BW:بتسوانا</t>
  </si>
  <si>
    <t>PN:بتكايرن</t>
  </si>
  <si>
    <t>BB:بربادوس</t>
  </si>
  <si>
    <t>BM:برمودا</t>
  </si>
  <si>
    <t>BN:بروناي</t>
  </si>
  <si>
    <t>BE:بلجيكا</t>
  </si>
  <si>
    <t>BG:بلغاريا</t>
  </si>
  <si>
    <t>BZ:بليز</t>
  </si>
  <si>
    <t>BD:بنجلاديش</t>
  </si>
  <si>
    <t>PA:بنما</t>
  </si>
  <si>
    <t>BJ:بنين</t>
  </si>
  <si>
    <t>BT:بوتان</t>
  </si>
  <si>
    <t>PR:بورتوريكو</t>
  </si>
  <si>
    <t>BF:بوركينا فاسو</t>
  </si>
  <si>
    <t>BI:بوروندي</t>
  </si>
  <si>
    <t>PL:بولندا</t>
  </si>
  <si>
    <t>BO:بوليفيا</t>
  </si>
  <si>
    <t>PF:بولينيزيا الفرنسية</t>
  </si>
  <si>
    <t>PE:بيرو</t>
  </si>
  <si>
    <t>TZ:تانزانيا</t>
  </si>
  <si>
    <t>TH:تايلند</t>
  </si>
  <si>
    <t>TW:تايوان</t>
  </si>
  <si>
    <t>TM:تركمانستان</t>
  </si>
  <si>
    <t>TR:تركيا</t>
  </si>
  <si>
    <t>TT:ترينيداد وتوباغو</t>
  </si>
  <si>
    <t>TD:تشاد</t>
  </si>
  <si>
    <t>TG:توجو</t>
  </si>
  <si>
    <t>TV:توفالو</t>
  </si>
  <si>
    <t>TK:توكيلو</t>
  </si>
  <si>
    <t>TO:تونجا</t>
  </si>
  <si>
    <t>TN:تونس</t>
  </si>
  <si>
    <t>TL:تيمور الشرقية</t>
  </si>
  <si>
    <t>JM:جامايكا</t>
  </si>
  <si>
    <t>GI:جبل طارق</t>
  </si>
  <si>
    <t>GD:جرينادا</t>
  </si>
  <si>
    <t>GL:جرينلاند</t>
  </si>
  <si>
    <t>AX:جزر أولان</t>
  </si>
  <si>
    <t>AN:جزر الأنتيل الهولندية</t>
  </si>
  <si>
    <t>TC:جزر الترك وجايكوس</t>
  </si>
  <si>
    <t>KM:جزر القمر</t>
  </si>
  <si>
    <t>KY:جزر الكايمن</t>
  </si>
  <si>
    <t>MH:جزر المارشال</t>
  </si>
  <si>
    <t>MV:جزر الملديف</t>
  </si>
  <si>
    <t>UM:جزر الولايات المتحدة البعيدة الصغيرة</t>
  </si>
  <si>
    <t>SB:جزر سليمان</t>
  </si>
  <si>
    <t>FO:جزر فارو</t>
  </si>
  <si>
    <t>VI:جزر فرجين الأمريكية</t>
  </si>
  <si>
    <t>VG:جزر فرجين البريطانية</t>
  </si>
  <si>
    <t>FK:جزر فوكلاند</t>
  </si>
  <si>
    <t>CK:جزر كوك</t>
  </si>
  <si>
    <t>CC:جزر كوكوس</t>
  </si>
  <si>
    <t>MP:جزر ماريانا الشمالية</t>
  </si>
  <si>
    <t>WF:جزر والس وفوتونا</t>
  </si>
  <si>
    <t>CX:جزيرة الكريسماس</t>
  </si>
  <si>
    <t>BV:جزيرة بوفيه</t>
  </si>
  <si>
    <t>IM:جزيرة مان</t>
  </si>
  <si>
    <t>NF:جزيرة نورفوك</t>
  </si>
  <si>
    <t>HM:جزيرة هيرد وماكدونالد</t>
  </si>
  <si>
    <t>CF:جمهورية افريقيا الوسطى</t>
  </si>
  <si>
    <t>CZ:جمهورية التشيك</t>
  </si>
  <si>
    <t>DO:جمهورية الدومينيك</t>
  </si>
  <si>
    <t>CD:جمهورية الكونغو الديمقراطية</t>
  </si>
  <si>
    <t>ZA:جمهورية جنوب افريقيا</t>
  </si>
  <si>
    <t>GT:جواتيمالا</t>
  </si>
  <si>
    <t>GP:جوادلوب</t>
  </si>
  <si>
    <t>GU:جوام</t>
  </si>
  <si>
    <t>GE:جورجيا</t>
  </si>
  <si>
    <t>GS:جورجيا الجنوبية وجزر ساندويتش الجنوبية</t>
  </si>
  <si>
    <t>DJ:جيبوتي</t>
  </si>
  <si>
    <t>JE:جيرسي</t>
  </si>
  <si>
    <t>DM:دومينيكا</t>
  </si>
  <si>
    <t>RW:رواندا</t>
  </si>
  <si>
    <t>RU:روسيا</t>
  </si>
  <si>
    <t>BY:روسيا البيضاء</t>
  </si>
  <si>
    <t>RO:رومانيا</t>
  </si>
  <si>
    <t>RE:روينيون</t>
  </si>
  <si>
    <t>ZM:زامبيا</t>
  </si>
  <si>
    <t>ZW:زيمبابوي</t>
  </si>
  <si>
    <t>CI:ساحل العاج</t>
  </si>
  <si>
    <t>WS:ساموا</t>
  </si>
  <si>
    <t>AS:ساموا الأمريكية</t>
  </si>
  <si>
    <t>SM:سان مارينو</t>
  </si>
  <si>
    <t>PM:سانت بيير وميكولون</t>
  </si>
  <si>
    <t>VC:سانت فنسنت وغرنادين</t>
  </si>
  <si>
    <t>KN:سانت كيتس ونيفيس</t>
  </si>
  <si>
    <t>LC:سانت لوسيا</t>
  </si>
  <si>
    <t>MF:سانت مارتين</t>
  </si>
  <si>
    <t>SH:سانت هيلنا</t>
  </si>
  <si>
    <t>ST:ساو تومي وبرينسيبي</t>
  </si>
  <si>
    <t>LK:سريلانكا</t>
  </si>
  <si>
    <t>SJ:سفالبارد وجان مايان</t>
  </si>
  <si>
    <t>SK:سلوفاكيا</t>
  </si>
  <si>
    <t>SI:سلوفينيا</t>
  </si>
  <si>
    <t>SG:سنغافورة</t>
  </si>
  <si>
    <t>SZ:سوازيلاند</t>
  </si>
  <si>
    <t>SY:سوريا</t>
  </si>
  <si>
    <t>SR:سورينام</t>
  </si>
  <si>
    <t>CH:سويسرا</t>
  </si>
  <si>
    <t>SL:سيراليون</t>
  </si>
  <si>
    <t>SC:سيشل</t>
  </si>
  <si>
    <t>CL:شيلي</t>
  </si>
  <si>
    <t>RS:صربيا</t>
  </si>
  <si>
    <t>CS:صربيا والجبل الأسود</t>
  </si>
  <si>
    <t>TJ:طاجكستان</t>
  </si>
  <si>
    <t>OM:عمان</t>
  </si>
  <si>
    <t>GM:غامبيا</t>
  </si>
  <si>
    <t>GH:غانا</t>
  </si>
  <si>
    <t>GF:غويانا</t>
  </si>
  <si>
    <t>GY:غيانا</t>
  </si>
  <si>
    <t>GN:غينيا</t>
  </si>
  <si>
    <t>GQ:غينيا الاستوائية</t>
  </si>
  <si>
    <t>GW:غينيا بيساو</t>
  </si>
  <si>
    <t>VU:فانواتو</t>
  </si>
  <si>
    <t>FR:فرنسا</t>
  </si>
  <si>
    <t>PS:فلسطين</t>
  </si>
  <si>
    <t>VE:فنزويلا</t>
  </si>
  <si>
    <t>FI:فنلندا</t>
  </si>
  <si>
    <t>VN:فيتنام</t>
  </si>
  <si>
    <t>FJ:فيجي</t>
  </si>
  <si>
    <t>CY:قبرص</t>
  </si>
  <si>
    <t>KG:قرغيزستان</t>
  </si>
  <si>
    <t>QA:قطر</t>
  </si>
  <si>
    <t>KZ:كازاخستان</t>
  </si>
  <si>
    <t>NC:كاليدونيا الجديدة</t>
  </si>
  <si>
    <t>HR:كرواتيا</t>
  </si>
  <si>
    <t>KH:كمبوديا</t>
  </si>
  <si>
    <t>CA:كندا</t>
  </si>
  <si>
    <t>CU:كوبا</t>
  </si>
  <si>
    <t>KR:كوريا الجنوبية</t>
  </si>
  <si>
    <t>KP:كوريا الشمالية</t>
  </si>
  <si>
    <t>CR:كوستاريكا</t>
  </si>
  <si>
    <t>CO:كولومبيا</t>
  </si>
  <si>
    <t>KI:كيريباتي</t>
  </si>
  <si>
    <t>KE:كينيا</t>
  </si>
  <si>
    <t>LV:لاتفيا</t>
  </si>
  <si>
    <t>LA:لاوس</t>
  </si>
  <si>
    <t>LB:لبنان</t>
  </si>
  <si>
    <t>LU:لوكسمبورج</t>
  </si>
  <si>
    <t>LY:ليبيا</t>
  </si>
  <si>
    <t>LR:ليبيريا</t>
  </si>
  <si>
    <t>LT:ليتوانيا</t>
  </si>
  <si>
    <t>LI:ليختنشتاين</t>
  </si>
  <si>
    <t>LS:ليسوتو</t>
  </si>
  <si>
    <t>MQ:مارتينيك</t>
  </si>
  <si>
    <t>MO:ماكاو الصينية</t>
  </si>
  <si>
    <t>MT:مالطا</t>
  </si>
  <si>
    <t>ML:مالي</t>
  </si>
  <si>
    <t>MY:ماليزيا</t>
  </si>
  <si>
    <t>YT:مايوت</t>
  </si>
  <si>
    <t>MG:مدغشقر</t>
  </si>
  <si>
    <t>EG:مصر</t>
  </si>
  <si>
    <t>MK:مقدونيا</t>
  </si>
  <si>
    <t>MW:ملاوي</t>
  </si>
  <si>
    <t>ZZ:منطقة غير معرفة</t>
  </si>
  <si>
    <t>MN:منغوليا</t>
  </si>
  <si>
    <t>MR:موريتانيا</t>
  </si>
  <si>
    <t>MU:موريشيوس</t>
  </si>
  <si>
    <t>MZ:موزمبيق</t>
  </si>
  <si>
    <t>MD:مولدافيا</t>
  </si>
  <si>
    <t>MC:موناكو</t>
  </si>
  <si>
    <t>MS:مونتسرات</t>
  </si>
  <si>
    <t>MM:ميانمار</t>
  </si>
  <si>
    <t>FM:ميكرونيزيا</t>
  </si>
  <si>
    <t>NA:ناميبيا</t>
  </si>
  <si>
    <t>NR:نورو</t>
  </si>
  <si>
    <t>NP:نيبال</t>
  </si>
  <si>
    <t>NG:نيجيريا</t>
  </si>
  <si>
    <t>NI:نيكاراجوا</t>
  </si>
  <si>
    <t>NZ:نيوزيلاندا</t>
  </si>
  <si>
    <t>NU:نيوي</t>
  </si>
  <si>
    <t>HT:هايتي</t>
  </si>
  <si>
    <t>HN:هندوراس</t>
  </si>
  <si>
    <t>NL:هولندا</t>
  </si>
  <si>
    <t>HK:هونج كونج الصينية</t>
  </si>
  <si>
    <t>عدد السنوات</t>
  </si>
  <si>
    <t>يجب إعداد ملفات جداول الكميات حسب الصياغة المعتمدة بناءاً على الأنشطة المختارة وعدد السنوات (إن وجدت).</t>
  </si>
  <si>
    <t>عرض تجزئة المنافسة</t>
  </si>
  <si>
    <t>نص تجزئة المنافسة</t>
  </si>
  <si>
    <t>يحق للجهة تجزئة المنافسة عند الترسية إذا اقتضت المصلحة العامة ذلك، بشرط أن تكون طبيعة الأعمال والمشتريات قابلة للتجزئة من حيث القيمة والمدة والبنود والعناصر. وفي حال تمت تجزئة المنافسة فإنه يتم الترسية على أكثر من متعاقد كما يتم تحديد البنود والكميات والأسعار التي تم الترسية عليها لكل متعاقد على حدة.</t>
  </si>
  <si>
    <t>يحق للجهة حذف هذا البند</t>
  </si>
  <si>
    <t>يقصد بمسار القيم المنخفضة ان تكون إجراءات فحص للمنافسة والتوصية بالترسية من قبل عضو من لجنة الشراء المباشر للمنافسات التي لاتزيد قيمتها التقديرية عن ثلاثين ألف ريال .</t>
  </si>
  <si>
    <t>نموذج منافسة جديدة للإدخال في منصة اعتماد</t>
  </si>
  <si>
    <t>تعليمات استخدام النموذج:</t>
  </si>
  <si>
    <t>1. الحقول المخصصة للإدخال هي المظللة باللون الأزرق.</t>
  </si>
  <si>
    <t>2. الحقول باللون الرمادي مخفية وغير مخصصة للإدخال، وتظهر حسب القيم المدخلة/المختارة في النموذج.</t>
  </si>
  <si>
    <t>يرجى جمع الملفات المطلوب إرفاقها في هذا الحقل في مجلد واحد باسم "ملفات داعمة".
صيغ الملفات المسموحة: pdf,zip</t>
  </si>
  <si>
    <t>3. تتم تعبئة الحقول المقابلة لللون الأصفر بواسطة إدارة المشتريات.</t>
  </si>
  <si>
    <t>يجب تعبئة جدول المخرجات في الورقة التالية في حال اختيار أحد الأنشطة المحتوي على عدد سنوات.</t>
  </si>
  <si>
    <t>المراسم الملكية بالرياض</t>
  </si>
  <si>
    <t>purchase_committee_members</t>
  </si>
  <si>
    <t>tender_type</t>
  </si>
  <si>
    <t>tender_type_reason_direct</t>
  </si>
  <si>
    <t>tender_type_reason_limited</t>
  </si>
  <si>
    <t>technical_committee</t>
  </si>
  <si>
    <t>tender_opening_committee</t>
  </si>
  <si>
    <t>tender_check_committee</t>
  </si>
  <si>
    <t>tender_submission_method</t>
  </si>
  <si>
    <t>pre_qualification</t>
  </si>
  <si>
    <t>invitation_type</t>
  </si>
  <si>
    <t>agreement_type</t>
  </si>
  <si>
    <t>beneficiaries</t>
  </si>
  <si>
    <t>direct_purchase_committee</t>
  </si>
  <si>
    <t>action_type</t>
  </si>
  <si>
    <t>initial_bank_guarantee</t>
  </si>
  <si>
    <t>yes_no</t>
  </si>
  <si>
    <t>bids_opening_location</t>
  </si>
  <si>
    <t>المراسم الملكية - جدة</t>
  </si>
  <si>
    <t>states</t>
  </si>
  <si>
    <t>countries</t>
  </si>
  <si>
    <t>construction_works</t>
  </si>
  <si>
    <t>operation_maintenance_works</t>
  </si>
  <si>
    <t>activities</t>
  </si>
  <si>
    <t>documents</t>
  </si>
  <si>
    <t>DateTime</t>
  </si>
  <si>
    <t>01</t>
  </si>
  <si>
    <t>02</t>
  </si>
  <si>
    <t>03</t>
  </si>
  <si>
    <t>04</t>
  </si>
  <si>
    <t>05</t>
  </si>
  <si>
    <t>06</t>
  </si>
  <si>
    <t>07</t>
  </si>
  <si>
    <t>08</t>
  </si>
  <si>
    <t>09</t>
  </si>
  <si>
    <t>11</t>
  </si>
  <si>
    <t>10</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</si>
  <si>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</si>
  <si>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</si>
  <si>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</si>
  <si>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</si>
  <si>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</si>
  <si>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</si>
  <si>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</si>
  <si>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</si>
  <si>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</si>
  <si>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</si>
  <si>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</si>
  <si>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</si>
  <si>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</si>
  <si>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</si>
  <si>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</si>
  <si>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</si>
  <si>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</si>
  <si>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</si>
  <si>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</si>
  <si>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</si>
  <si>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</si>
  <si>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</si>
  <si>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</si>
  <si>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</si>
  <si>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</si>
  <si>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</si>
  <si>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</si>
  <si>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</si>
  <si>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</si>
  <si>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</si>
  <si>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</si>
  <si>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</si>
  <si>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</si>
  <si>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</si>
  <si>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</si>
  <si>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</si>
  <si>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</si>
  <si>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</si>
  <si>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</si>
  <si>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</si>
  <si>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</si>
  <si>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</si>
  <si>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</si>
  <si>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</si>
  <si>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</si>
  <si>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</si>
  <si>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</si>
  <si>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</si>
  <si>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2020</t>
  </si>
  <si>
    <t>2021</t>
  </si>
  <si>
    <t>2022</t>
  </si>
  <si>
    <t>2023</t>
  </si>
  <si>
    <t>2024</t>
  </si>
  <si>
    <t>2025</t>
  </si>
  <si>
    <t>2026</t>
  </si>
  <si>
    <t>2027</t>
  </si>
  <si>
    <t>2028</t>
  </si>
  <si>
    <t>2029</t>
  </si>
  <si>
    <t>2030</t>
  </si>
  <si>
    <t>2031</t>
  </si>
  <si>
    <t>2032</t>
  </si>
  <si>
    <t>2033</t>
  </si>
  <si>
    <t>2034</t>
  </si>
  <si>
    <t>2035</t>
  </si>
  <si>
    <t>2036</t>
  </si>
  <si>
    <t>2037</t>
  </si>
  <si>
    <t>2038</t>
  </si>
  <si>
    <t>2039</t>
  </si>
  <si>
    <t>2040</t>
  </si>
  <si>
    <t>2041</t>
  </si>
  <si>
    <t>2042</t>
  </si>
  <si>
    <t>2043</t>
  </si>
  <si>
    <t>2044</t>
  </si>
  <si>
    <t>2045</t>
  </si>
  <si>
    <t>2046</t>
  </si>
  <si>
    <t>2047</t>
  </si>
  <si>
    <t>2048</t>
  </si>
  <si>
    <t>2049</t>
  </si>
  <si>
    <t>2050</t>
  </si>
  <si>
    <t>2051</t>
  </si>
  <si>
    <t>2052</t>
  </si>
  <si>
    <t>2053</t>
  </si>
  <si>
    <t>2054</t>
  </si>
  <si>
    <t>2055</t>
  </si>
  <si>
    <t>2056</t>
  </si>
  <si>
    <t>2057</t>
  </si>
  <si>
    <t>2058</t>
  </si>
  <si>
    <t>2059</t>
  </si>
  <si>
    <t>2060</t>
  </si>
  <si>
    <t>2061</t>
  </si>
  <si>
    <t>2062</t>
  </si>
  <si>
    <t>2063</t>
  </si>
  <si>
    <t>2064</t>
  </si>
  <si>
    <t>2065</t>
  </si>
  <si>
    <t>2066</t>
  </si>
  <si>
    <t>2067</t>
  </si>
  <si>
    <t>2068</t>
  </si>
  <si>
    <t>2069</t>
  </si>
  <si>
    <t>2070</t>
  </si>
  <si>
    <t>2071</t>
  </si>
  <si>
    <t>2072</t>
  </si>
  <si>
    <t>2073</t>
  </si>
  <si>
    <t>2074</t>
  </si>
  <si>
    <t>2075</t>
  </si>
  <si>
    <t>2076</t>
  </si>
  <si>
    <t>2077</t>
  </si>
  <si>
    <t>2078</t>
  </si>
  <si>
    <t>2079</t>
  </si>
  <si>
    <t>2080</t>
  </si>
  <si>
    <t>2081</t>
  </si>
  <si>
    <t>2082</t>
  </si>
  <si>
    <t>2083</t>
  </si>
  <si>
    <t>2084</t>
  </si>
  <si>
    <t>2085</t>
  </si>
  <si>
    <t>2086</t>
  </si>
  <si>
    <t>2087</t>
  </si>
  <si>
    <t>2088</t>
  </si>
  <si>
    <t>2089</t>
  </si>
  <si>
    <t>2090</t>
  </si>
  <si>
    <t>2091</t>
  </si>
  <si>
    <t>2092</t>
  </si>
  <si>
    <t>2093</t>
  </si>
  <si>
    <t>2094</t>
  </si>
  <si>
    <t>2095</t>
  </si>
  <si>
    <t>2096</t>
  </si>
  <si>
    <t>2097</t>
  </si>
  <si>
    <t>2098</t>
  </si>
  <si>
    <t>2099</t>
  </si>
  <si>
    <t>2100</t>
  </si>
  <si>
    <t>day</t>
  </si>
  <si>
    <t>month</t>
  </si>
  <si>
    <t>year</t>
  </si>
  <si>
    <t>minute</t>
  </si>
  <si>
    <t>hour</t>
  </si>
  <si>
    <t>execution_location</t>
  </si>
  <si>
    <t>am_pm</t>
  </si>
  <si>
    <t>00</t>
  </si>
  <si>
    <t>show_years</t>
  </si>
  <si>
    <t>selected_result</t>
  </si>
  <si>
    <t>السجل التجاري,تصنيف المقاولين,شهادة الزكاة,شهادة الضريبة,التأمينات الاجتماعية,شهادة اشتراك الغرفة التجارية,رخصة الاستثمار,شهادة السعودة,رخصة البلدية</t>
  </si>
  <si>
    <t>ضمان إبتدائى</t>
  </si>
  <si>
    <t>الشروط الخاصة بالعمالة</t>
  </si>
  <si>
    <t>‌أ. يجب على المتعاقد أن يتخذ الترتيبات الخاصة لاستخدام الموظفين ومعاملتهم -مواطنين كانوا أو أجانب- وفقًا لأحكام نظام العمل ونظام التأمينات الاجتماعية والأنظمة الأخرى ذات العلاقة. 
‌ب. يجب على المتعاقد الالتزام بدفع أتعاب الموظفين.
‌ج. يحظر على المتعاقد استقطاب أو محاولة استقطاب أي من موظفي الجهة.
‌د. يجب على المتعاقد في جميع الأوقات اتخاذ جميع الاحتياطات اللازمة للحفاظ على صحة موظفيه وسلامتهم، وتكون له سلطة إصدار التعليمات واتخاذ التدابير الوقائية لمنع وقوع الحوادث. ويجب على المتعاقد إرسال تفاصيل أي حادث إلى ممثل الجهة في أقرب وقت ممكن بعد وقوعه
‌ه. يجب على المتعاقد توفير فريق عمل من ذوي الخبرة اللازمة بناءً على المؤهلات المطلوبة لكل وظيفة موضحة في جدول مواصفات فريق العمل. وللجهة الحق في جميع الأحوال أن تطلب – كتابة – من المتعاقد استبعاد أي شخص غير مرغوب فيه، وأن يستعين بشخص آخر بدلاً منه خلال (15) خمسة عشر يوماً من تاريخ إبلاغه. 
‌و. يجب على المتعاقد تزويد الجهة بسجلات مفصلة لفريق عمله مصنفين حسب المهارات. 
‌ز. يجب على المتعاقد التأكد من أن جميع أعضاء فريق العمل على كفالته أو كفالة المتعاقد من الباطن المتفق عليهم في هذا العقد. ويجب كذلك وجود عقد عمل رسمي لهم معتمد من الجهة.
‌ح. يلتزم المتعاقد باستخراج الإقامات اللازمة للموظفين حسب الإجراءات النظامية وفقاً للأنظمة المعمول بها في المملكة.
‌ط. يلتزم المتعاقد بتأمين الموظفين اللازمة حسب المسمى الوظيفي والمؤهلات والخبرة المبينة بالجدول التالي (جدول مواصفات فريق العمل).
‌ي. يلتزم المتعاقد بتخصيص موظفات للعمل في الأقسام النسائية أو المواقع التي تتطلب ذلك.</t>
  </si>
  <si>
    <t>لجنة الشراء المباشر الأولى</t>
  </si>
  <si>
    <t>تاريخ فحص العروض</t>
  </si>
  <si>
    <t>وقت فحص العروض</t>
  </si>
  <si>
    <t>رقم السجل التجاري</t>
  </si>
  <si>
    <t>عنوان تسليم العروض</t>
  </si>
  <si>
    <t>التاريخ المتوقع للترسية</t>
  </si>
  <si>
    <t>تاريخ بدء الأعمال / الخدمات</t>
  </si>
  <si>
    <t>نسبة الضمان النهائي</t>
  </si>
  <si>
    <t>لا تقل عن 5% ولا تزيد عن 100%</t>
  </si>
  <si>
    <t>فترة التوقف</t>
  </si>
  <si>
    <t>معايير تقييم العروض</t>
  </si>
  <si>
    <t>فحص العروض</t>
  </si>
  <si>
    <t>تتم الترسية على العرض ذو التكلفة /السعر الأقل من العروض التي اجتازت التقييم الفني للجهة الحكومية.</t>
  </si>
  <si>
    <t>لتفتح لجنة فحص العروض ملف الأسعار التقديرية، كما تقوم بفتح العروض المالية للعروض الفنية المقبولة في الموعد المحدد لذلك بعد إشعار أصحاب العروض الفنية المقبولة بذلك، وتعلن الأسعار للحاضرين من أصحاب العروض</t>
  </si>
  <si>
    <t>المصطلحات والتعريفات</t>
  </si>
  <si>
    <t>مكان تنفيذ الأعمال والخدمات</t>
  </si>
  <si>
    <t xml:space="preserve">
في هذه الفقرة يتم توضيح معلومات وتفاصيل الموقع الذي سيتم فيه العمل بالإضافة إلى توضيح ما إذا كان سيتم توفير مخططات ورسومات وما شابه.</t>
  </si>
  <si>
    <t>في هذه الفقرة يتم توضيح برنامج العمل الخاص بالمشروع من خلال تفصيل مراحل التنفيذ والأوقات الفعلية لإكمال الأعمال كما تقوم الجهة الحكومية بطلب خطة توزيع اصناف والاوقات الفعلية المتعاقد خلال مراحل المشروع والجدول الزمني لذلك.</t>
  </si>
  <si>
    <t>كيفية تنفيذ الأعمال والخدمات</t>
  </si>
  <si>
    <t>يتم في هذا البند توضيح:
‌أ.	 الخدمة التي سيتم عملها من قبل المتعاقد.
‌ب.	التفاصيل المتعلقة بالخدمة التي سيتم تنفيذها من قبل المتعاقد.
‌ج.	المواد التي سيتم استعمالها في الخدمة.
‌د.	القياسات المتعلقة بالمواد التي سيتم استعمالها في تنفيذ الخدمة.‌ 
‌ه.	تفاصيل الاختبارات الذي يجب عملها عند انتهاء الخدمات.</t>
  </si>
  <si>
    <t>floar_number</t>
  </si>
  <si>
    <t>متطلبات المحتوى المحلي</t>
  </si>
  <si>
    <t>تحديد آلية الأفضلية المستخدمة</t>
  </si>
  <si>
    <t>local_content_mechanism</t>
  </si>
  <si>
    <t>آلية وزن المحتوى المحلي في التقييم المالي</t>
  </si>
  <si>
    <t>آلية الحد الأدنى المطلوب للمحتوى المحلي</t>
  </si>
  <si>
    <t xml:space="preserve">آلية التفضيل السعري للمنتج الوطني </t>
  </si>
  <si>
    <t>تطبيق البنود الخاصة بالقائمة الالزامية</t>
  </si>
  <si>
    <t>الحد الادني لخط الأساس</t>
  </si>
  <si>
    <t>الحد الادنى لنسبة المحتوى المحلي المستهدفة</t>
  </si>
  <si>
    <t>دراسة الحد الأدنى للمحتوى المحلي المستهدف</t>
  </si>
  <si>
    <t>يرجى جمع الملفات المطلوب إرفاقها في هذا الحقل في مجلد واحد باسم "دراسة الحد الأدنى للمحتوى المحلي المستهدف".
صيغ الملفات المسموحة: pdf,zip</t>
  </si>
  <si>
    <t>تشمل المنافسة على بنود توريد</t>
  </si>
  <si>
    <t>تاريخ تسليم العروض</t>
  </si>
  <si>
    <t>وقت تسليم العروض</t>
  </si>
  <si>
    <r>
      <t xml:space="preserve">المرحلة </t>
    </r>
    <r>
      <rPr>
        <b/>
        <sz val="11"/>
        <color rgb="FFFF0000"/>
        <rFont val="Arial"/>
        <family val="2"/>
        <scheme val="minor"/>
      </rPr>
      <t>*</t>
    </r>
  </si>
  <si>
    <r>
      <t xml:space="preserve">اسم المخرج </t>
    </r>
    <r>
      <rPr>
        <b/>
        <sz val="11"/>
        <color rgb="FFFF0000"/>
        <rFont val="Arial"/>
        <family val="2"/>
        <scheme val="minor"/>
      </rPr>
      <t>*</t>
    </r>
  </si>
  <si>
    <r>
      <t xml:space="preserve">الوصف </t>
    </r>
    <r>
      <rPr>
        <b/>
        <sz val="11"/>
        <color rgb="FFFF0000"/>
        <rFont val="Arial"/>
        <family val="2"/>
        <scheme val="minor"/>
      </rPr>
      <t>*</t>
    </r>
  </si>
  <si>
    <t>موعد التسليم بالتاريخ الميلادي
dd/mm/yyyy</t>
  </si>
  <si>
    <t>ملاحظة: موعد التسليم اختياري</t>
  </si>
  <si>
    <t>المخرجات</t>
  </si>
  <si>
    <t>يجب تعبئة جدول التعريفات في الورقة التالية في حال اختيار أحد الأنشطة المحتوي على عدد سنوات.</t>
  </si>
  <si>
    <r>
      <t xml:space="preserve">المصطلح </t>
    </r>
    <r>
      <rPr>
        <b/>
        <sz val="11"/>
        <color rgb="FFFF0000"/>
        <rFont val="Arial"/>
        <family val="2"/>
        <scheme val="minor"/>
      </rPr>
      <t>*</t>
    </r>
  </si>
  <si>
    <r>
      <t xml:space="preserve">التعريف </t>
    </r>
    <r>
      <rPr>
        <b/>
        <sz val="11"/>
        <color rgb="FFFF0000"/>
        <rFont val="Arial"/>
        <family val="2"/>
        <scheme val="minor"/>
      </rPr>
      <t>*</t>
    </r>
  </si>
  <si>
    <t>template_years</t>
  </si>
  <si>
    <t>السنة الاولى</t>
  </si>
  <si>
    <t>السنة الثانية</t>
  </si>
  <si>
    <t>السنة الثالثة</t>
  </si>
  <si>
    <t>السنة الرابعة</t>
  </si>
  <si>
    <t>السنة الخامسة</t>
  </si>
  <si>
    <t>يجب أن يكون فترة التوقف أكبر أو يساوي 5 و أقل من أو يساوي 10</t>
  </si>
  <si>
    <t>المشتريات والمناقصات</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</si>
</sst>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Arial"/>
      <family val="2"/>
      <scheme val="minor"/>
    </font>
    <font>
      <b/>
      <sz val="11"/>
      <color theme="1"/>
      <name val="Arial"/>
      <family val="2"/>
      <scheme val="minor"/>
    </font>
    <font>
      <b/>
      <sz val="16"/>
      <color theme="9" tint="-0.249977111117893"/>
      <name val="Arial"/>
      <family val="2"/>
      <scheme val="minor"/>
    </font>
    <font>
      <sz val="9"/>
      <color theme="1"/>
      <name val="Arial"/>
      <family val="2"/>
      <scheme val="minor"/>
    </font>
    <font>
      <sz val="16"/>
      <color theme="9" tint="-0.249977111117893"/>
      <name val="Arial"/>
      <family val="2"/>
      <scheme val="minor"/>
    </font>
    <font>
      <b/>
      <sz val="16"/>
      <color theme="1"/>
      <name val="Arial"/>
      <family val="2"/>
      <scheme val="minor"/>
    </font>
    <font>
      <sz val="11"/>
      <color theme="1"/>
      <name val="Arial"/>
      <family val="2"/>
      <scheme val="minor"/>
    </font>
    <font>
      <b/>
      <sz val="11"/>
      <color theme="0"/>
      <name val="Arial"/>
      <family val="2"/>
      <scheme val="minor"/>
    </font>
    <font>
      <sz val="11"/>
      <color theme="0"/>
      <name val="Arial"/>
      <family val="2"/>
      <scheme val="minor"/>
    </font>
    <font>
      <sz val="9"/>
      <color rgb="FF222222"/>
      <name val="Consolas"/>
      <family val="3"/>
    </font>
    <font>
      <b/>
      <sz val="11"/>
      <color rgb="FFFF0000"/>
      <name val="Arial"/>
      <family val="2"/>
      <scheme val="minor"/>
    </font>
    <font>
      <b/>
      <sz val="12"/>
      <color rgb="FFFF0000"/>
      <name val="Arial"/>
      <family val="2"/>
      <scheme val="minor"/>
    </font>
    <font>
      <b/>
      <sz val="14"/>
      <color rgb="FFFF0000"/>
      <name val="Arial"/>
      <family val="2"/>
      <scheme val="minor"/>
    </font>
  </fonts>
  <fills count="9">
    <fill>
      <patternFill patternType="none"/>
    </fill>
    <fill>
      <patternFill patternType="gray125"/>
    </fill>
    <fill>
      <patternFill patternType="solid">
        <fgColor theme="9"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2"/>
        <bgColor indexed="64"/>
      </patternFill>
    </fill>
    <fill>
      <patternFill patternType="solid">
        <fgColor theme="7" tint="0.79998168889431442"/>
        <bgColor indexed="65"/>
      </patternFill>
    </fill>
    <fill>
      <patternFill patternType="solid">
        <fgColor theme="4"/>
        <bgColor theme="4"/>
      </patternFill>
    </fill>
    <fill>
      <patternFill patternType="solid">
        <fgColor theme="4" tint="0.79998168889431442"/>
        <bgColor theme="4" tint="0.79998168889431442"/>
      </patternFill>
    </fill>
  </fills>
  <borders count="54">
    <border>
      <left/>
      <right/>
      <top/>
      <bottom/>
      <diagonal/>
    </border>
    <border>
      <left/>
      <right style="thin">
        <color indexed="64"/>
      </right>
      <top/>
      <bottom/>
      <diagonal/>
    </border>
    <border>
      <left/>
      <right/>
      <top style="thin">
        <color indexed="64"/>
      </top>
      <bottom style="thin">
        <color indexed="64"/>
      </bottom>
      <diagonal/>
    </border>
    <border>
      <left/>
      <right/>
      <top style="double">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thin">
        <color theme="0" tint="-0.14996795556505021"/>
      </bottom>
      <diagonal/>
    </border>
    <border>
      <left style="thin">
        <color indexed="64"/>
      </left>
      <right/>
      <top style="thin">
        <color indexed="64"/>
      </top>
      <bottom style="thin">
        <color theme="0" tint="-0.14996795556505021"/>
      </bottom>
      <diagonal/>
    </border>
    <border>
      <left/>
      <right/>
      <top style="thin">
        <color indexed="64"/>
      </top>
      <bottom style="thin">
        <color theme="0" tint="-0.14996795556505021"/>
      </bottom>
      <diagonal/>
    </border>
    <border>
      <left style="thin">
        <color indexed="64"/>
      </left>
      <right style="thin">
        <color indexed="64"/>
      </right>
      <top style="thin">
        <color indexed="64"/>
      </top>
      <bottom style="thin">
        <color theme="0" tint="-0.14996795556505021"/>
      </bottom>
      <diagonal/>
    </border>
    <border>
      <left/>
      <right style="thin">
        <color indexed="64"/>
      </right>
      <top style="thin">
        <color theme="0" tint="-0.14996795556505021"/>
      </top>
      <bottom style="thin">
        <color theme="0" tint="-0.14996795556505021"/>
      </bottom>
      <diagonal/>
    </border>
    <border>
      <left style="thin">
        <color indexed="64"/>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style="thin">
        <color indexed="64"/>
      </left>
      <right style="thin">
        <color indexed="64"/>
      </right>
      <top style="thin">
        <color theme="0" tint="-0.14996795556505021"/>
      </top>
      <bottom style="thin">
        <color theme="0" tint="-0.14996795556505021"/>
      </bottom>
      <diagonal/>
    </border>
    <border>
      <left style="thin">
        <color indexed="64"/>
      </left>
      <right/>
      <top style="thin">
        <color theme="0" tint="-0.14996795556505021"/>
      </top>
      <bottom style="double">
        <color indexed="64"/>
      </bottom>
      <diagonal/>
    </border>
    <border>
      <left/>
      <right/>
      <top style="thin">
        <color theme="0" tint="-0.14996795556505021"/>
      </top>
      <bottom style="double">
        <color indexed="64"/>
      </bottom>
      <diagonal/>
    </border>
    <border>
      <left style="thin">
        <color indexed="64"/>
      </left>
      <right style="thin">
        <color indexed="64"/>
      </right>
      <top style="thin">
        <color theme="0" tint="-0.14996795556505021"/>
      </top>
      <bottom/>
      <diagonal/>
    </border>
    <border>
      <left/>
      <right style="thin">
        <color indexed="64"/>
      </right>
      <top style="thin">
        <color theme="0" tint="-0.14996795556505021"/>
      </top>
      <bottom style="double">
        <color indexed="64"/>
      </bottom>
      <diagonal/>
    </border>
    <border>
      <left style="thin">
        <color indexed="64"/>
      </left>
      <right style="dotted">
        <color theme="0" tint="-0.14993743705557422"/>
      </right>
      <top style="thin">
        <color theme="0" tint="-0.14996795556505021"/>
      </top>
      <bottom style="thin">
        <color theme="0" tint="-0.14996795556505021"/>
      </bottom>
      <diagonal/>
    </border>
    <border>
      <left style="dotted">
        <color theme="0" tint="-0.14993743705557422"/>
      </left>
      <right style="thin">
        <color theme="0" tint="-0.14996795556505021"/>
      </right>
      <top style="thin">
        <color theme="0" tint="-0.14996795556505021"/>
      </top>
      <bottom style="thin">
        <color theme="0" tint="-0.14996795556505021"/>
      </bottom>
      <diagonal/>
    </border>
    <border>
      <left style="thin">
        <color theme="0" tint="-0.14996795556505021"/>
      </left>
      <right style="dotted">
        <color theme="0" tint="-0.14993743705557422"/>
      </right>
      <top style="thin">
        <color theme="0" tint="-0.14996795556505021"/>
      </top>
      <bottom style="thin">
        <color theme="0" tint="-0.14996795556505021"/>
      </bottom>
      <diagonal/>
    </border>
    <border>
      <left style="thin">
        <color theme="0" tint="-0.14996795556505021"/>
      </left>
      <right style="dotted">
        <color theme="0" tint="-0.14996795556505021"/>
      </right>
      <top style="thin">
        <color theme="0" tint="-0.14996795556505021"/>
      </top>
      <bottom style="thin">
        <color theme="0" tint="-0.14996795556505021"/>
      </bottom>
      <diagonal/>
    </border>
    <border>
      <left style="dotted">
        <color theme="0" tint="-0.14996795556505021"/>
      </left>
      <right style="thin">
        <color indexed="64"/>
      </right>
      <top style="thin">
        <color theme="0" tint="-0.14996795556505021"/>
      </top>
      <bottom style="thin">
        <color theme="0" tint="-0.14996795556505021"/>
      </bottom>
      <diagonal/>
    </border>
    <border>
      <left/>
      <right style="thin">
        <color indexed="64"/>
      </right>
      <top style="double">
        <color indexed="64"/>
      </top>
      <bottom style="thin">
        <color indexed="64"/>
      </bottom>
      <diagonal/>
    </border>
    <border>
      <left style="thin">
        <color indexed="64"/>
      </left>
      <right style="thin">
        <color indexed="64"/>
      </right>
      <top style="thin">
        <color theme="0" tint="-0.14996795556505021"/>
      </top>
      <bottom style="double">
        <color indexed="64"/>
      </bottom>
      <diagonal/>
    </border>
    <border>
      <left/>
      <right style="thin">
        <color indexed="64"/>
      </right>
      <top style="thin">
        <color theme="0" tint="-0.14996795556505021"/>
      </top>
      <bottom style="thin">
        <color indexed="64"/>
      </bottom>
      <diagonal/>
    </border>
    <border>
      <left style="thin">
        <color indexed="64"/>
      </left>
      <right/>
      <top style="thin">
        <color theme="0" tint="-0.14996795556505021"/>
      </top>
      <bottom style="thin">
        <color indexed="64"/>
      </bottom>
      <diagonal/>
    </border>
    <border>
      <left/>
      <right/>
      <top style="thin">
        <color theme="0" tint="-0.14996795556505021"/>
      </top>
      <bottom style="thin">
        <color indexed="64"/>
      </bottom>
      <diagonal/>
    </border>
    <border>
      <left style="thin">
        <color indexed="64"/>
      </left>
      <right style="thin">
        <color indexed="64"/>
      </right>
      <top style="thin">
        <color theme="0" tint="-0.14996795556505021"/>
      </top>
      <bottom style="thin">
        <color indexed="64"/>
      </bottom>
      <diagonal/>
    </border>
    <border>
      <left style="thin">
        <color indexed="64"/>
      </left>
      <right/>
      <top style="double">
        <color indexed="64"/>
      </top>
      <bottom style="thin">
        <color indexed="64"/>
      </bottom>
      <diagonal/>
    </border>
    <border>
      <left/>
      <right style="thin">
        <color indexed="64"/>
      </right>
      <top/>
      <bottom style="double">
        <color indexed="64"/>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indexed="64"/>
      </bottom>
      <diagonal/>
    </border>
    <border>
      <left style="thin">
        <color theme="0"/>
      </left>
      <right style="thin">
        <color theme="0"/>
      </right>
      <top style="thin">
        <color theme="0"/>
      </top>
      <bottom style="thin">
        <color indexed="64"/>
      </bottom>
      <diagonal/>
    </border>
    <border>
      <left style="thin">
        <color theme="0"/>
      </left>
      <right/>
      <top style="thin">
        <color theme="0"/>
      </top>
      <bottom style="thin">
        <color indexed="64"/>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indexed="64"/>
      </left>
      <right/>
      <top/>
      <bottom style="double">
        <color indexed="64"/>
      </bottom>
      <diagonal/>
    </border>
    <border>
      <left/>
      <right/>
      <top/>
      <bottom style="double">
        <color indexed="64"/>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s>
  <cellStyleXfs count="2">
    <xf numFmtId="0" fontId="0" fillId="0" borderId="0"/>
    <xf numFmtId="0" fontId="6" fillId="6" borderId="0" applyNumberFormat="0" applyBorder="0" applyAlignment="0" applyProtection="0"/>
  </cellStyleXfs>
  <cellXfs count="131">
    <xf numFmtId="0" fontId="0" fillId="0" borderId="0" xfId="0"/>
    <xf numFmtId="0" fontId="0" fillId="0" borderId="10" xfId="0" applyBorder="1" applyAlignment="1" applyProtection="1">
      <alignment vertical="center" readingOrder="2"/>
    </xf>
    <xf numFmtId="0" fontId="0" fillId="0" borderId="14" xfId="0" applyBorder="1" applyAlignment="1" applyProtection="1">
      <alignment vertical="center" readingOrder="2"/>
    </xf>
    <xf numFmtId="0" fontId="0" fillId="0" borderId="17" xfId="0" applyBorder="1" applyAlignment="1" applyProtection="1">
      <alignment vertical="center" readingOrder="2"/>
    </xf>
    <xf numFmtId="0" fontId="0" fillId="3" borderId="20" xfId="0" applyFill="1" applyBorder="1" applyAlignment="1" applyProtection="1">
      <alignment horizontal="right" vertical="center" readingOrder="2"/>
      <protection locked="0"/>
    </xf>
    <xf numFmtId="0" fontId="0" fillId="3" borderId="23" xfId="0" applyFill="1" applyBorder="1" applyAlignment="1" applyProtection="1">
      <alignment horizontal="right" vertical="center" readingOrder="2"/>
      <protection locked="0"/>
    </xf>
    <xf numFmtId="0" fontId="0" fillId="0" borderId="0" xfId="0" applyProtection="1"/>
    <xf numFmtId="0" fontId="1" fillId="0" borderId="5" xfId="0" applyFont="1" applyBorder="1" applyAlignment="1" applyProtection="1">
      <alignment horizontal="center" vertical="center" readingOrder="2"/>
    </xf>
    <xf numFmtId="0" fontId="0" fillId="0" borderId="10" xfId="0" applyBorder="1" applyAlignment="1" applyProtection="1">
      <alignment horizontal="center" vertical="center" readingOrder="2"/>
    </xf>
    <xf numFmtId="0" fontId="0" fillId="0" borderId="14" xfId="0" applyBorder="1" applyAlignment="1" applyProtection="1">
      <alignment horizontal="center" vertical="center" readingOrder="2"/>
    </xf>
    <xf numFmtId="0" fontId="0" fillId="0" borderId="17" xfId="0" applyBorder="1" applyAlignment="1" applyProtection="1">
      <alignment horizontal="center" vertical="center" readingOrder="2"/>
    </xf>
    <xf numFmtId="0" fontId="0" fillId="0" borderId="0" xfId="0" applyAlignment="1" applyProtection="1"/>
    <xf numFmtId="0" fontId="0" fillId="0" borderId="0" xfId="0" applyAlignment="1" applyProtection="1">
      <alignment vertical="center"/>
    </xf>
    <xf numFmtId="0" fontId="0" fillId="0" borderId="19" xfId="0" applyBorder="1" applyAlignment="1" applyProtection="1">
      <alignment horizontal="center" vertical="center" readingOrder="2"/>
    </xf>
    <xf numFmtId="0" fontId="0" fillId="0" borderId="21" xfId="0" applyBorder="1" applyAlignment="1" applyProtection="1">
      <alignment horizontal="center" vertical="center" readingOrder="2"/>
    </xf>
    <xf numFmtId="0" fontId="0" fillId="0" borderId="22" xfId="0" applyBorder="1" applyAlignment="1" applyProtection="1">
      <alignment horizontal="center" vertical="center" readingOrder="2"/>
    </xf>
    <xf numFmtId="0" fontId="3" fillId="0" borderId="22" xfId="0" applyFont="1" applyBorder="1" applyAlignment="1" applyProtection="1">
      <alignment horizontal="center" vertical="center" readingOrder="2"/>
    </xf>
    <xf numFmtId="0" fontId="0" fillId="0" borderId="25" xfId="0" applyBorder="1" applyAlignment="1" applyProtection="1">
      <alignment vertical="center" readingOrder="2"/>
    </xf>
    <xf numFmtId="0" fontId="0" fillId="0" borderId="25" xfId="0" applyBorder="1" applyAlignment="1" applyProtection="1">
      <alignment horizontal="center" vertical="center" readingOrder="2"/>
    </xf>
    <xf numFmtId="0" fontId="0" fillId="0" borderId="0" xfId="0" applyBorder="1" applyAlignment="1" applyProtection="1">
      <alignment readingOrder="2"/>
    </xf>
    <xf numFmtId="0" fontId="0" fillId="0" borderId="10" xfId="0" applyBorder="1" applyAlignment="1" applyProtection="1">
      <alignment vertical="top" readingOrder="2"/>
    </xf>
    <xf numFmtId="0" fontId="0" fillId="0" borderId="10" xfId="0" applyBorder="1" applyAlignment="1" applyProtection="1">
      <alignment horizontal="right" vertical="top" wrapText="1" readingOrder="2"/>
    </xf>
    <xf numFmtId="0" fontId="0" fillId="0" borderId="14" xfId="0" applyBorder="1" applyAlignment="1" applyProtection="1">
      <alignment vertical="top" readingOrder="2"/>
    </xf>
    <xf numFmtId="0" fontId="0" fillId="0" borderId="14" xfId="0" applyBorder="1" applyAlignment="1" applyProtection="1">
      <alignment vertical="top" wrapText="1" readingOrder="2"/>
    </xf>
    <xf numFmtId="0" fontId="0" fillId="0" borderId="0" xfId="0" applyAlignment="1" applyProtection="1">
      <alignment horizontal="right" readingOrder="2"/>
    </xf>
    <xf numFmtId="0" fontId="0" fillId="0" borderId="29" xfId="0" applyBorder="1" applyAlignment="1" applyProtection="1">
      <alignment horizontal="center" vertical="center" readingOrder="2"/>
    </xf>
    <xf numFmtId="0" fontId="0" fillId="0" borderId="0" xfId="0" applyAlignment="1" applyProtection="1">
      <alignment horizontal="right"/>
    </xf>
    <xf numFmtId="0" fontId="0" fillId="0" borderId="14" xfId="0" applyBorder="1" applyAlignment="1" applyProtection="1">
      <alignment horizontal="right" vertical="top" wrapText="1" readingOrder="2"/>
    </xf>
    <xf numFmtId="0" fontId="0" fillId="0" borderId="17" xfId="0" applyBorder="1" applyAlignment="1" applyProtection="1">
      <alignment horizontal="right" vertical="top" wrapText="1" readingOrder="2"/>
    </xf>
    <xf numFmtId="0" fontId="2" fillId="2" borderId="30" xfId="0" applyFont="1" applyFill="1" applyBorder="1" applyAlignment="1" applyProtection="1">
      <alignment horizontal="right" readingOrder="2"/>
    </xf>
    <xf numFmtId="0" fontId="2" fillId="2" borderId="3" xfId="0" applyFont="1" applyFill="1" applyBorder="1" applyAlignment="1" applyProtection="1">
      <alignment horizontal="right" readingOrder="2"/>
    </xf>
    <xf numFmtId="0" fontId="2" fillId="2" borderId="24" xfId="0" applyFont="1" applyFill="1" applyBorder="1" applyAlignment="1" applyProtection="1">
      <alignment horizontal="right" readingOrder="2"/>
    </xf>
    <xf numFmtId="0" fontId="4" fillId="2" borderId="4" xfId="0" applyFont="1" applyFill="1" applyBorder="1" applyAlignment="1" applyProtection="1">
      <alignment horizontal="right" vertical="center" readingOrder="2"/>
    </xf>
    <xf numFmtId="0" fontId="4" fillId="2" borderId="2" xfId="0" applyFont="1" applyFill="1" applyBorder="1" applyAlignment="1" applyProtection="1">
      <alignment horizontal="right" vertical="center" readingOrder="2"/>
    </xf>
    <xf numFmtId="0" fontId="4" fillId="2" borderId="6" xfId="0" applyFont="1" applyFill="1" applyBorder="1" applyAlignment="1" applyProtection="1">
      <alignment horizontal="right" vertical="center" readingOrder="2"/>
    </xf>
    <xf numFmtId="0" fontId="0" fillId="0" borderId="0" xfId="0" applyFill="1" applyBorder="1" applyProtection="1"/>
    <xf numFmtId="0" fontId="0" fillId="0" borderId="17" xfId="0" applyBorder="1" applyAlignment="1" applyProtection="1">
      <alignment horizontal="right" vertical="top" readingOrder="2"/>
    </xf>
    <xf numFmtId="0" fontId="0" fillId="0" borderId="35" xfId="0" applyBorder="1" applyAlignment="1" applyProtection="1">
      <alignment horizontal="right" readingOrder="2"/>
    </xf>
    <xf numFmtId="0" fontId="0" fillId="0" borderId="36" xfId="0" applyBorder="1" applyAlignment="1" applyProtection="1">
      <alignment readingOrder="2"/>
    </xf>
    <xf numFmtId="0" fontId="0" fillId="0" borderId="36" xfId="0" applyBorder="1" applyAlignment="1" applyProtection="1">
      <alignment horizontal="center" readingOrder="2"/>
    </xf>
    <xf numFmtId="0" fontId="0" fillId="0" borderId="37" xfId="0" applyBorder="1" applyAlignment="1" applyProtection="1">
      <alignment readingOrder="2"/>
    </xf>
    <xf numFmtId="0" fontId="0" fillId="3" borderId="36" xfId="0" applyFill="1" applyBorder="1" applyAlignment="1" applyProtection="1">
      <alignment readingOrder="2"/>
    </xf>
    <xf numFmtId="0" fontId="0" fillId="4" borderId="36" xfId="0" applyFill="1" applyBorder="1" applyAlignment="1" applyProtection="1">
      <alignment readingOrder="2"/>
    </xf>
    <xf numFmtId="0" fontId="0" fillId="0" borderId="38" xfId="0" applyBorder="1" applyAlignment="1" applyProtection="1">
      <alignment horizontal="right" readingOrder="2"/>
    </xf>
    <xf numFmtId="0" fontId="0" fillId="0" borderId="39" xfId="0" applyBorder="1" applyAlignment="1" applyProtection="1">
      <alignment readingOrder="2"/>
    </xf>
    <xf numFmtId="0" fontId="0" fillId="0" borderId="39" xfId="0" applyBorder="1" applyAlignment="1" applyProtection="1">
      <alignment horizontal="center" readingOrder="2"/>
    </xf>
    <xf numFmtId="0" fontId="0" fillId="0" borderId="40" xfId="0" applyBorder="1" applyAlignment="1" applyProtection="1">
      <alignment readingOrder="2"/>
    </xf>
    <xf numFmtId="0" fontId="0" fillId="0" borderId="42" xfId="0" applyBorder="1" applyAlignment="1" applyProtection="1">
      <alignment readingOrder="2"/>
    </xf>
    <xf numFmtId="0" fontId="0" fillId="0" borderId="42" xfId="0" applyBorder="1" applyAlignment="1" applyProtection="1">
      <alignment horizontal="center" readingOrder="2"/>
    </xf>
    <xf numFmtId="0" fontId="0" fillId="0" borderId="43" xfId="0" applyBorder="1" applyAlignment="1" applyProtection="1">
      <alignment readingOrder="2"/>
    </xf>
    <xf numFmtId="0" fontId="0" fillId="5" borderId="42" xfId="0" applyFill="1" applyBorder="1" applyAlignment="1" applyProtection="1">
      <alignment readingOrder="2"/>
    </xf>
    <xf numFmtId="0" fontId="2" fillId="2" borderId="4" xfId="0" applyFont="1" applyFill="1" applyBorder="1" applyAlignment="1" applyProtection="1">
      <alignment horizontal="right" readingOrder="2"/>
    </xf>
    <xf numFmtId="0" fontId="2" fillId="2" borderId="2" xfId="0" applyFont="1" applyFill="1" applyBorder="1" applyAlignment="1" applyProtection="1">
      <alignment horizontal="right" readingOrder="2"/>
    </xf>
    <xf numFmtId="0" fontId="2" fillId="2" borderId="6" xfId="0" applyFont="1" applyFill="1" applyBorder="1" applyAlignment="1" applyProtection="1">
      <alignment horizontal="right" readingOrder="2"/>
    </xf>
    <xf numFmtId="0" fontId="1" fillId="2" borderId="47" xfId="0" applyFont="1" applyFill="1" applyBorder="1" applyAlignment="1" applyProtection="1">
      <alignment horizontal="center" vertical="center" wrapText="1" readingOrder="2"/>
    </xf>
    <xf numFmtId="0" fontId="0" fillId="0" borderId="0" xfId="0" applyAlignment="1" applyProtection="1">
      <alignment horizontal="center" wrapText="1" readingOrder="2"/>
    </xf>
    <xf numFmtId="0" fontId="0" fillId="4" borderId="14" xfId="0" applyFill="1" applyBorder="1" applyAlignment="1" applyProtection="1">
      <alignment vertical="center" readingOrder="2"/>
    </xf>
    <xf numFmtId="0" fontId="0" fillId="4" borderId="25" xfId="0" applyFill="1" applyBorder="1" applyAlignment="1" applyProtection="1">
      <alignment vertical="center" readingOrder="2"/>
    </xf>
    <xf numFmtId="0" fontId="0" fillId="0" borderId="17" xfId="0" applyBorder="1" applyAlignment="1" applyProtection="1">
      <alignment vertical="top" readingOrder="2"/>
    </xf>
    <xf numFmtId="0" fontId="0" fillId="4" borderId="17" xfId="0" applyFill="1" applyBorder="1" applyAlignment="1" applyProtection="1">
      <alignment vertical="center" readingOrder="2"/>
    </xf>
    <xf numFmtId="0" fontId="0" fillId="4" borderId="17" xfId="0" applyFill="1" applyBorder="1" applyAlignment="1" applyProtection="1">
      <alignment horizontal="right" vertical="top" readingOrder="2"/>
    </xf>
    <xf numFmtId="0" fontId="0" fillId="4" borderId="14" xfId="0" applyFill="1" applyBorder="1" applyAlignment="1" applyProtection="1">
      <alignment vertical="center" wrapText="1" readingOrder="2"/>
    </xf>
    <xf numFmtId="0" fontId="0" fillId="0" borderId="0" xfId="0" quotePrefix="1" applyProtection="1"/>
    <xf numFmtId="0" fontId="0" fillId="0" borderId="0" xfId="0" applyAlignment="1" applyProtection="1">
      <alignment vertical="center" readingOrder="2"/>
    </xf>
    <xf numFmtId="0" fontId="0" fillId="3" borderId="20" xfId="0" quotePrefix="1" applyFill="1" applyBorder="1" applyAlignment="1" applyProtection="1">
      <alignment horizontal="right" vertical="center" readingOrder="2"/>
      <protection locked="0"/>
    </xf>
    <xf numFmtId="0" fontId="0" fillId="3" borderId="23" xfId="0" quotePrefix="1" applyFill="1" applyBorder="1" applyAlignment="1" applyProtection="1">
      <alignment horizontal="right" vertical="center" readingOrder="2"/>
      <protection locked="0"/>
    </xf>
    <xf numFmtId="0" fontId="0" fillId="0" borderId="1" xfId="0" applyBorder="1" applyAlignment="1" applyProtection="1">
      <alignment horizontal="right" readingOrder="2"/>
    </xf>
    <xf numFmtId="0" fontId="0" fillId="0" borderId="0" xfId="0" applyBorder="1" applyAlignment="1" applyProtection="1">
      <alignment horizontal="right" readingOrder="2"/>
    </xf>
    <xf numFmtId="0" fontId="0" fillId="0" borderId="0" xfId="0" applyFill="1" applyBorder="1" applyAlignment="1" applyProtection="1">
      <alignment horizontal="right" readingOrder="2"/>
    </xf>
    <xf numFmtId="0" fontId="8" fillId="0" borderId="0" xfId="0" applyFont="1" applyAlignment="1">
      <alignment horizontal="right"/>
    </xf>
    <xf numFmtId="0" fontId="6" fillId="6" borderId="17" xfId="1" applyBorder="1" applyAlignment="1" applyProtection="1">
      <alignment vertical="center" readingOrder="2"/>
    </xf>
    <xf numFmtId="0" fontId="1" fillId="0" borderId="47" xfId="0" applyFont="1" applyBorder="1" applyAlignment="1" applyProtection="1">
      <alignment horizontal="center" vertical="center" readingOrder="2"/>
    </xf>
    <xf numFmtId="0" fontId="0" fillId="0" borderId="46" xfId="0" applyBorder="1" applyAlignment="1" applyProtection="1">
      <alignment vertical="center" readingOrder="2"/>
    </xf>
    <xf numFmtId="0" fontId="0" fillId="0" borderId="17" xfId="0" applyBorder="1" applyAlignment="1" applyProtection="1">
      <alignment vertical="center" wrapText="1" readingOrder="2"/>
    </xf>
    <xf numFmtId="0" fontId="0" fillId="0" borderId="0" xfId="0" applyBorder="1" applyAlignment="1" applyProtection="1">
      <alignment horizontal="center" readingOrder="2"/>
    </xf>
    <xf numFmtId="0" fontId="0" fillId="0" borderId="0" xfId="0" applyBorder="1" applyProtection="1"/>
    <xf numFmtId="0" fontId="0" fillId="0" borderId="5" xfId="0" applyBorder="1" applyAlignment="1" applyProtection="1">
      <alignment vertical="center" wrapText="1" readingOrder="2"/>
    </xf>
    <xf numFmtId="0" fontId="0" fillId="0" borderId="46" xfId="0" applyBorder="1" applyAlignment="1" applyProtection="1">
      <alignment horizontal="center" vertical="center" readingOrder="2"/>
    </xf>
    <xf numFmtId="0" fontId="0" fillId="0" borderId="5" xfId="0" applyBorder="1" applyAlignment="1" applyProtection="1">
      <alignment horizontal="center" vertical="center" readingOrder="2"/>
    </xf>
    <xf numFmtId="0" fontId="0" fillId="0" borderId="5" xfId="0" applyBorder="1" applyAlignment="1" applyProtection="1">
      <alignment vertical="center" readingOrder="2"/>
    </xf>
    <xf numFmtId="0" fontId="4" fillId="2" borderId="47" xfId="0" applyFont="1" applyFill="1" applyBorder="1" applyAlignment="1" applyProtection="1">
      <alignment horizontal="right" vertical="center" readingOrder="2"/>
    </xf>
    <xf numFmtId="0" fontId="0" fillId="6" borderId="14" xfId="1" applyFont="1" applyBorder="1" applyAlignment="1" applyProtection="1">
      <alignment vertical="center" readingOrder="2"/>
    </xf>
    <xf numFmtId="49" fontId="1" fillId="2" borderId="47" xfId="0" applyNumberFormat="1" applyFont="1" applyFill="1" applyBorder="1" applyAlignment="1" applyProtection="1">
      <alignment horizontal="center" vertical="center" wrapText="1" readingOrder="2"/>
    </xf>
    <xf numFmtId="0" fontId="0" fillId="0" borderId="14" xfId="0" applyBorder="1" applyAlignment="1" applyProtection="1">
      <alignment horizontal="right" vertical="center" readingOrder="2"/>
    </xf>
    <xf numFmtId="0" fontId="9" fillId="8" borderId="51" xfId="0" applyFont="1" applyFill="1" applyBorder="1"/>
    <xf numFmtId="0" fontId="9" fillId="0" borderId="51" xfId="0" applyFont="1" applyBorder="1"/>
    <xf numFmtId="0" fontId="7" fillId="7" borderId="52" xfId="0" applyFont="1" applyFill="1" applyBorder="1" applyAlignment="1">
      <alignment horizontal="right"/>
    </xf>
    <xf numFmtId="0" fontId="9" fillId="8" borderId="53" xfId="0" applyFont="1" applyFill="1" applyBorder="1"/>
    <xf numFmtId="0" fontId="0" fillId="4" borderId="14" xfId="0" applyFill="1" applyBorder="1" applyAlignment="1" applyProtection="1">
      <alignment vertical="top" wrapText="1" readingOrder="2"/>
    </xf>
    <xf numFmtId="0" fontId="0" fillId="4" borderId="14" xfId="0" applyFill="1" applyBorder="1" applyAlignment="1" applyProtection="1">
      <alignment vertical="top" readingOrder="2"/>
    </xf>
    <xf numFmtId="0" fontId="0" fillId="4" borderId="29" xfId="0" applyFill="1" applyBorder="1" applyAlignment="1" applyProtection="1">
      <alignment vertical="center" readingOrder="2"/>
    </xf>
    <xf numFmtId="0" fontId="11" fillId="0" borderId="35" xfId="0" applyFont="1" applyBorder="1" applyAlignment="1" applyProtection="1">
      <alignment horizontal="right" readingOrder="2"/>
    </xf>
    <xf numFmtId="0" fontId="12" fillId="0" borderId="35" xfId="0" applyFont="1" applyBorder="1" applyAlignment="1" applyProtection="1">
      <alignment horizontal="right" readingOrder="2"/>
    </xf>
    <xf numFmtId="0" fontId="11" fillId="0" borderId="41" xfId="0" applyFont="1" applyBorder="1" applyAlignment="1" applyProtection="1">
      <alignment horizontal="right" readingOrder="2"/>
    </xf>
    <xf numFmtId="0" fontId="0" fillId="3" borderId="12" xfId="0" applyFill="1" applyBorder="1" applyAlignment="1" applyProtection="1">
      <alignment horizontal="right" vertical="top" wrapText="1" readingOrder="2"/>
      <protection locked="0"/>
    </xf>
    <xf numFmtId="0" fontId="0" fillId="3" borderId="13" xfId="0" applyFill="1" applyBorder="1" applyAlignment="1" applyProtection="1">
      <alignment horizontal="right" vertical="top" wrapText="1" readingOrder="2"/>
      <protection locked="0"/>
    </xf>
    <xf numFmtId="0" fontId="0" fillId="3" borderId="11" xfId="0" applyFill="1" applyBorder="1" applyAlignment="1" applyProtection="1">
      <alignment horizontal="right" vertical="top" wrapText="1" readingOrder="2"/>
      <protection locked="0"/>
    </xf>
    <xf numFmtId="0" fontId="0" fillId="0" borderId="48" xfId="0" applyBorder="1" applyAlignment="1" applyProtection="1">
      <alignment vertical="center" wrapText="1" readingOrder="2"/>
    </xf>
    <xf numFmtId="0" fontId="0" fillId="0" borderId="49" xfId="0" applyBorder="1" applyAlignment="1" applyProtection="1">
      <alignment vertical="center" readingOrder="2"/>
    </xf>
    <xf numFmtId="0" fontId="0" fillId="0" borderId="50" xfId="0" applyBorder="1" applyAlignment="1" applyProtection="1">
      <alignment vertical="center" readingOrder="2"/>
    </xf>
    <xf numFmtId="0" fontId="5" fillId="0" borderId="32" xfId="0" applyFont="1" applyBorder="1" applyAlignment="1" applyProtection="1">
      <alignment horizontal="center" vertical="center" readingOrder="2"/>
    </xf>
    <xf numFmtId="0" fontId="5" fillId="0" borderId="33" xfId="0" applyFont="1" applyBorder="1" applyAlignment="1" applyProtection="1">
      <alignment horizontal="center" vertical="center" readingOrder="2"/>
    </xf>
    <xf numFmtId="0" fontId="5" fillId="0" borderId="34" xfId="0" applyFont="1" applyBorder="1" applyAlignment="1" applyProtection="1">
      <alignment horizontal="center" vertical="center" readingOrder="2"/>
    </xf>
    <xf numFmtId="0" fontId="0" fillId="0" borderId="44" xfId="0" applyBorder="1" applyAlignment="1" applyProtection="1">
      <alignment horizontal="right" vertical="center" readingOrder="2"/>
    </xf>
    <xf numFmtId="0" fontId="0" fillId="0" borderId="45" xfId="0" applyBorder="1" applyAlignment="1" applyProtection="1">
      <alignment horizontal="right" vertical="center" readingOrder="2"/>
    </xf>
    <xf numFmtId="0" fontId="0" fillId="0" borderId="31" xfId="0" applyBorder="1" applyAlignment="1" applyProtection="1">
      <alignment horizontal="right" vertical="center" readingOrder="2"/>
    </xf>
    <xf numFmtId="0" fontId="0" fillId="3" borderId="15" xfId="0" applyFill="1" applyBorder="1" applyAlignment="1" applyProtection="1">
      <alignment horizontal="right" vertical="center" readingOrder="2"/>
      <protection locked="0"/>
    </xf>
    <xf numFmtId="0" fontId="0" fillId="3" borderId="16" xfId="0" applyFill="1" applyBorder="1" applyAlignment="1" applyProtection="1">
      <alignment horizontal="right" vertical="center" readingOrder="2"/>
      <protection locked="0"/>
    </xf>
    <xf numFmtId="0" fontId="0" fillId="3" borderId="18" xfId="0" applyFill="1" applyBorder="1" applyAlignment="1" applyProtection="1">
      <alignment horizontal="right" vertical="center" readingOrder="2"/>
      <protection locked="0"/>
    </xf>
    <xf numFmtId="0" fontId="0" fillId="3" borderId="12" xfId="0" applyFill="1" applyBorder="1" applyAlignment="1" applyProtection="1">
      <alignment horizontal="right" vertical="center" readingOrder="2"/>
      <protection locked="0"/>
    </xf>
    <xf numFmtId="0" fontId="0" fillId="3" borderId="13" xfId="0" applyFill="1" applyBorder="1" applyAlignment="1" applyProtection="1">
      <alignment horizontal="right" vertical="center" readingOrder="2"/>
      <protection locked="0"/>
    </xf>
    <xf numFmtId="0" fontId="0" fillId="3" borderId="11" xfId="0" applyFill="1" applyBorder="1" applyAlignment="1" applyProtection="1">
      <alignment horizontal="right" vertical="center" readingOrder="2"/>
      <protection locked="0"/>
    </xf>
    <xf numFmtId="0" fontId="1" fillId="0" borderId="4" xfId="0" applyFont="1" applyBorder="1" applyAlignment="1" applyProtection="1">
      <alignment horizontal="center" vertical="center" readingOrder="2"/>
    </xf>
    <xf numFmtId="0" fontId="1" fillId="0" borderId="2" xfId="0" applyFont="1" applyBorder="1" applyAlignment="1" applyProtection="1">
      <alignment horizontal="center" vertical="center" readingOrder="2"/>
    </xf>
    <xf numFmtId="0" fontId="1" fillId="0" borderId="6" xfId="0" applyFont="1" applyBorder="1" applyAlignment="1" applyProtection="1">
      <alignment horizontal="center" vertical="center" readingOrder="2"/>
    </xf>
    <xf numFmtId="0" fontId="0" fillId="3" borderId="8" xfId="0" applyFill="1" applyBorder="1" applyAlignment="1" applyProtection="1">
      <alignment horizontal="right" vertical="center" readingOrder="2"/>
      <protection locked="0"/>
    </xf>
    <xf numFmtId="0" fontId="0" fillId="3" borderId="9" xfId="0" applyFill="1" applyBorder="1" applyAlignment="1" applyProtection="1">
      <alignment horizontal="right" vertical="center" readingOrder="2"/>
      <protection locked="0"/>
    </xf>
    <xf numFmtId="0" fontId="0" fillId="3" borderId="7" xfId="0" applyFill="1" applyBorder="1" applyAlignment="1" applyProtection="1">
      <alignment horizontal="right" vertical="center" readingOrder="2"/>
      <protection locked="0"/>
    </xf>
    <xf numFmtId="0" fontId="0" fillId="0" borderId="4" xfId="0" applyFont="1" applyBorder="1" applyAlignment="1" applyProtection="1">
      <alignment horizontal="right" vertical="center" readingOrder="2"/>
    </xf>
    <xf numFmtId="0" fontId="0" fillId="0" borderId="2" xfId="0" applyFont="1" applyBorder="1" applyAlignment="1" applyProtection="1">
      <alignment horizontal="right" vertical="center" readingOrder="2"/>
    </xf>
    <xf numFmtId="0" fontId="0" fillId="0" borderId="6" xfId="0" applyFont="1" applyBorder="1" applyAlignment="1" applyProtection="1">
      <alignment horizontal="right" vertical="center" readingOrder="2"/>
    </xf>
    <xf numFmtId="0" fontId="0" fillId="3" borderId="27" xfId="0" applyFill="1" applyBorder="1" applyAlignment="1" applyProtection="1">
      <alignment horizontal="right" vertical="top" wrapText="1" readingOrder="2"/>
      <protection locked="0"/>
    </xf>
    <xf numFmtId="0" fontId="0" fillId="3" borderId="28" xfId="0" applyFill="1" applyBorder="1" applyAlignment="1" applyProtection="1">
      <alignment horizontal="right" vertical="top" wrapText="1" readingOrder="2"/>
      <protection locked="0"/>
    </xf>
    <xf numFmtId="0" fontId="0" fillId="3" borderId="26" xfId="0" applyFill="1" applyBorder="1" applyAlignment="1" applyProtection="1">
      <alignment horizontal="right" vertical="top" wrapText="1" readingOrder="2"/>
      <protection locked="0"/>
    </xf>
    <xf numFmtId="49" fontId="0" fillId="3" borderId="12" xfId="0" quotePrefix="1" applyNumberFormat="1" applyFill="1" applyBorder="1" applyAlignment="1" applyProtection="1">
      <alignment horizontal="right" vertical="center" readingOrder="2"/>
      <protection locked="0"/>
    </xf>
    <xf numFmtId="49" fontId="0" fillId="3" borderId="13" xfId="0" applyNumberFormat="1" applyFill="1" applyBorder="1" applyAlignment="1" applyProtection="1">
      <alignment horizontal="right" vertical="center" readingOrder="2"/>
      <protection locked="0"/>
    </xf>
    <xf numFmtId="49" fontId="0" fillId="3" borderId="11" xfId="0" applyNumberFormat="1" applyFill="1" applyBorder="1" applyAlignment="1" applyProtection="1">
      <alignment horizontal="right" vertical="center" readingOrder="2"/>
      <protection locked="0"/>
    </xf>
    <xf numFmtId="49" fontId="0" fillId="3" borderId="12" xfId="0" applyNumberFormat="1" applyFill="1" applyBorder="1" applyAlignment="1" applyProtection="1">
      <alignment horizontal="right" vertical="center" readingOrder="2"/>
      <protection locked="0"/>
    </xf>
    <xf numFmtId="0" fontId="0" fillId="0" borderId="27" xfId="0" applyBorder="1" applyAlignment="1" applyProtection="1">
      <alignment vertical="center" wrapText="1" readingOrder="2"/>
    </xf>
    <xf numFmtId="0" fontId="0" fillId="0" borderId="28" xfId="0" applyBorder="1" applyAlignment="1" applyProtection="1">
      <alignment vertical="center" readingOrder="2"/>
    </xf>
    <xf numFmtId="0" fontId="0" fillId="0" borderId="26" xfId="0" applyBorder="1" applyAlignment="1" applyProtection="1">
      <alignment vertical="center" readingOrder="2"/>
    </xf>
  </cellXfs>
  <cellStyles count="2">
    <cellStyle name="20% - تمييز4" xfId="1" builtinId="42"/>
    <cellStyle name="Normal" xfId="0" builtinId="0"/>
  </cellStyles>
  <dxfs count="142">
    <dxf>
      <protection locked="1" hidden="0"/>
    </dxf>
    <dxf>
      <protection locked="1" hidden="0"/>
    </dxf>
    <dxf>
      <alignment horizontal="right" vertical="bottom" textRotation="0" wrapText="0" indent="0" justifyLastLine="0" shrinkToFit="0" readingOrder="0"/>
      <protection locked="1" hidden="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Arial"/>
        <scheme val="minor"/>
      </font>
      <fill>
        <patternFill patternType="solid">
          <fgColor theme="4"/>
          <bgColor theme="4"/>
        </patternFill>
      </fill>
      <alignment horizontal="right" vertical="bottom" textRotation="0" wrapText="0" indent="0" justifyLastLine="0" shrinkToFit="0" readingOrder="0"/>
    </dxf>
    <dxf>
      <protection locked="1" hidden="0"/>
    </dxf>
    <dxf>
      <protection locked="1" hidden="0"/>
    </dxf>
    <dxf>
      <font>
        <b val="0"/>
        <i val="0"/>
        <strike val="0"/>
        <condense val="0"/>
        <extend val="0"/>
        <outline val="0"/>
        <shadow val="0"/>
        <u val="none"/>
        <vertAlign val="baseline"/>
        <sz val="11"/>
        <color theme="0"/>
        <name val="Calibri"/>
        <scheme val="minor"/>
      </font>
      <alignment horizontal="right" vertical="bottom" textRotation="0" wrapText="0" indent="0" justifyLastLine="0" shrinkToFit="0" readingOrder="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fill>
        <patternFill patternType="none">
          <fgColor indexed="64"/>
          <bgColor indexed="65"/>
        </patternFill>
      </fill>
      <alignment horizontal="right" vertical="bottom" textRotation="0" wrapText="0" indent="0" justifyLastLine="0" shrinkToFit="0" readingOrder="2"/>
      <protection locked="1" hidden="0"/>
    </dxf>
    <dxf>
      <numFmt numFmtId="0" formatCode="General"/>
      <protection locked="1" hidden="0"/>
    </dxf>
    <dxf>
      <protection locked="1" hidden="0"/>
    </dxf>
    <dxf>
      <protection locked="1" hidden="0"/>
    </dxf>
    <dxf>
      <protection locked="1" hidden="0"/>
    </dxf>
    <dxf>
      <alignment horizontal="right" vertical="bottom" textRotation="0" wrapText="0" indent="0" justifyLastLine="0" shrinkToFit="0" readingOrder="2"/>
      <protection locked="1" hidden="0"/>
    </dxf>
    <dxf>
      <protection locked="1" hidden="0"/>
    </dxf>
    <dxf>
      <protection locked="1" hidden="0"/>
    </dxf>
    <dxf>
      <alignment horizontal="right" vertical="bottom" textRotation="0" wrapText="0" indent="0" justifyLastLine="0" shrinkToFit="0" readingOrder="2"/>
      <protection locked="1" hidden="0"/>
    </dxf>
    <dxf>
      <protection locked="1" hidden="0"/>
    </dxf>
    <dxf>
      <protection locked="1" hidden="0"/>
    </dxf>
    <dxf>
      <alignment horizontal="right" vertical="bottom" textRotation="0" wrapText="0" indent="0" justifyLastLine="0" shrinkToFit="0" readingOrder="2"/>
      <protection locked="1" hidden="0"/>
    </dxf>
    <dxf>
      <alignment horizontal="right" vertical="bottom" textRotation="0" wrapText="0" indent="0" justifyLastLine="0" shrinkToFit="0" readingOrder="0"/>
      <protection locked="1" hidden="0"/>
    </dxf>
    <dxf>
      <alignment horizontal="right" vertical="bottom" textRotation="0" wrapText="0" indent="0" justifyLastLine="0" shrinkToFit="0" readingOrder="0"/>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protection locked="1" hidden="0"/>
    </dxf>
    <dxf>
      <protection locked="1" hidden="0"/>
    </dxf>
    <dxf>
      <alignment horizontal="right" vertical="bottom" textRotation="0" wrapText="0" indent="0" justifyLastLine="0" shrinkToFit="0"/>
      <protection locked="1" hidden="0"/>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
      <font>
        <color theme="2"/>
      </font>
      <fill>
        <patternFill>
          <bgColor theme="2"/>
        </patternFill>
      </fill>
    </dxf>
  </dxfs>
  <tableStyles count="0" defaultTableStyle="TableStyleMedium2" defaultPivotStyle="PivotStyleLight16"/>
  <colors>
    <mruColors>
      <color rgb="FFE7E6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4.emf"/><Relationship Id="rId6" Type="http://schemas.openxmlformats.org/officeDocument/2006/relationships/image" Target="../media/image3.emf"/><Relationship Id="rId5" Type="http://schemas.openxmlformats.org/officeDocument/2006/relationships/image" Target="../media/image7.emf"/><Relationship Id="rId10" Type="http://schemas.openxmlformats.org/officeDocument/2006/relationships/image" Target="../media/image10.emf"/><Relationship Id="rId4" Type="http://schemas.openxmlformats.org/officeDocument/2006/relationships/image" Target="../media/image6.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3019425</xdr:colOff>
          <xdr:row>106</xdr:row>
          <xdr:rowOff>47625</xdr:rowOff>
        </xdr:from>
        <xdr:to>
          <xdr:col>8</xdr:col>
          <xdr:colOff>4476750</xdr:colOff>
          <xdr:row>106</xdr:row>
          <xdr:rowOff>447675</xdr:rowOff>
        </xdr:to>
        <xdr:sp macro="" textlink="">
          <xdr:nvSpPr>
            <xdr:cNvPr id="1105" name="CommandButton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3019425</xdr:colOff>
          <xdr:row>118</xdr:row>
          <xdr:rowOff>47625</xdr:rowOff>
        </xdr:from>
        <xdr:to>
          <xdr:col>8</xdr:col>
          <xdr:colOff>4476750</xdr:colOff>
          <xdr:row>118</xdr:row>
          <xdr:rowOff>447675</xdr:rowOff>
        </xdr:to>
        <xdr:sp macro="" textlink="">
          <xdr:nvSpPr>
            <xdr:cNvPr id="1106" name="CommandButton2"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3019425</xdr:colOff>
          <xdr:row>119</xdr:row>
          <xdr:rowOff>47625</xdr:rowOff>
        </xdr:from>
        <xdr:to>
          <xdr:col>8</xdr:col>
          <xdr:colOff>4476750</xdr:colOff>
          <xdr:row>119</xdr:row>
          <xdr:rowOff>447675</xdr:rowOff>
        </xdr:to>
        <xdr:sp macro="" textlink="">
          <xdr:nvSpPr>
            <xdr:cNvPr id="1113" name="CommandButton3"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3619500</xdr:colOff>
          <xdr:row>84</xdr:row>
          <xdr:rowOff>9525</xdr:rowOff>
        </xdr:from>
        <xdr:to>
          <xdr:col>8</xdr:col>
          <xdr:colOff>4476750</xdr:colOff>
          <xdr:row>85</xdr:row>
          <xdr:rowOff>0</xdr:rowOff>
        </xdr:to>
        <xdr:sp macro="" textlink="">
          <xdr:nvSpPr>
            <xdr:cNvPr id="1129" name="CommandButton4"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3019425</xdr:colOff>
          <xdr:row>92</xdr:row>
          <xdr:rowOff>47625</xdr:rowOff>
        </xdr:from>
        <xdr:to>
          <xdr:col>8</xdr:col>
          <xdr:colOff>4476750</xdr:colOff>
          <xdr:row>92</xdr:row>
          <xdr:rowOff>447675</xdr:rowOff>
        </xdr:to>
        <xdr:sp macro="" textlink="">
          <xdr:nvSpPr>
            <xdr:cNvPr id="1158" name="CommandButton5"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1123950</xdr:colOff>
          <xdr:row>109</xdr:row>
          <xdr:rowOff>47625</xdr:rowOff>
        </xdr:from>
        <xdr:to>
          <xdr:col>8</xdr:col>
          <xdr:colOff>733425</xdr:colOff>
          <xdr:row>109</xdr:row>
          <xdr:rowOff>447675</xdr:rowOff>
        </xdr:to>
        <xdr:sp macro="" textlink="">
          <xdr:nvSpPr>
            <xdr:cNvPr id="1165" name="CommandButton6"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3019425</xdr:colOff>
          <xdr:row>117</xdr:row>
          <xdr:rowOff>38100</xdr:rowOff>
        </xdr:from>
        <xdr:to>
          <xdr:col>8</xdr:col>
          <xdr:colOff>4476750</xdr:colOff>
          <xdr:row>117</xdr:row>
          <xdr:rowOff>438150</xdr:rowOff>
        </xdr:to>
        <xdr:sp macro="" textlink="">
          <xdr:nvSpPr>
            <xdr:cNvPr id="1167" name="CommandButton7"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1123950</xdr:colOff>
          <xdr:row>110</xdr:row>
          <xdr:rowOff>57150</xdr:rowOff>
        </xdr:from>
        <xdr:to>
          <xdr:col>8</xdr:col>
          <xdr:colOff>733425</xdr:colOff>
          <xdr:row>110</xdr:row>
          <xdr:rowOff>457200</xdr:rowOff>
        </xdr:to>
        <xdr:sp macro="" textlink="">
          <xdr:nvSpPr>
            <xdr:cNvPr id="1173" name="CommandButton8" hidden="1">
              <a:extLst>
                <a:ext uri="{63B3BB69-23CF-44E3-9099-C40C66FF867C}">
                  <a14:compatExt spid="_x0000_s1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3019425</xdr:colOff>
          <xdr:row>103</xdr:row>
          <xdr:rowOff>28575</xdr:rowOff>
        </xdr:from>
        <xdr:to>
          <xdr:col>8</xdr:col>
          <xdr:colOff>4476750</xdr:colOff>
          <xdr:row>103</xdr:row>
          <xdr:rowOff>428625</xdr:rowOff>
        </xdr:to>
        <xdr:sp macro="" textlink="">
          <xdr:nvSpPr>
            <xdr:cNvPr id="1180" name="CommandButton9" hidden="1">
              <a:extLst>
                <a:ext uri="{63B3BB69-23CF-44E3-9099-C40C66FF867C}">
                  <a14:compatExt spid="_x0000_s11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3019425</xdr:colOff>
          <xdr:row>104</xdr:row>
          <xdr:rowOff>28575</xdr:rowOff>
        </xdr:from>
        <xdr:to>
          <xdr:col>8</xdr:col>
          <xdr:colOff>4476750</xdr:colOff>
          <xdr:row>104</xdr:row>
          <xdr:rowOff>428625</xdr:rowOff>
        </xdr:to>
        <xdr:sp macro="" textlink="">
          <xdr:nvSpPr>
            <xdr:cNvPr id="1181" name="CommandButton10" hidden="1">
              <a:extLst>
                <a:ext uri="{63B3BB69-23CF-44E3-9099-C40C66FF867C}">
                  <a14:compatExt spid="_x0000_s11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2" name="t_purchase_committee_members" displayName="t_purchase_committee_members" ref="A1:A3" totalsRowShown="0" headerRowDxfId="101" dataDxfId="100">
  <autoFilter ref="A1:A3"/>
  <tableColumns count="1">
    <tableColumn id="1" name="purchase_committee_members" dataDxfId="99"/>
  </tableColumns>
  <tableStyleInfo name="TableStyleMedium2" showFirstColumn="0" showLastColumn="0" showRowStripes="1" showColumnStripes="0"/>
</table>
</file>

<file path=xl/tables/table2.xml><?xml version="1.0" encoding="utf-8"?>
<table xmlns="http://schemas.openxmlformats.org/spreadsheetml/2006/main" id="3" name="t_tender_type" displayName="t_tender_type" ref="C1:C7" totalsRowShown="0" headerRowDxfId="98" dataDxfId="97">
  <autoFilter ref="C1:C7"/>
  <tableColumns count="1">
    <tableColumn id="1" name="tender_type" dataDxfId="96"/>
  </tableColumns>
  <tableStyleInfo name="TableStyleMedium2" showFirstColumn="0" showLastColumn="0" showRowStripes="1" showColumnStripes="0"/>
</table>
</file>

<file path=xl/tables/table3.xml><?xml version="1.0" encoding="utf-8"?>
<table xmlns="http://schemas.openxmlformats.org/spreadsheetml/2006/main" id="4" name="t_tender_type_reason_direct" displayName="t_tender_type_reason_direct" ref="D1:D8" totalsRowShown="0" headerRowDxfId="95" dataDxfId="94">
  <autoFilter ref="D1:D8"/>
  <tableColumns count="1">
    <tableColumn id="1" name="tender_type_reason_direct" dataDxfId="93"/>
  </tableColumns>
  <tableStyleInfo name="TableStyleMedium2" showFirstColumn="0" showLastColumn="0" showRowStripes="1" showColumnStripes="0"/>
</table>
</file>

<file path=xl/tables/table4.xml><?xml version="1.0" encoding="utf-8"?>
<table xmlns="http://schemas.openxmlformats.org/spreadsheetml/2006/main" id="5" name="t_tender_type_reason_limited" displayName="t_tender_type_reason_limited" ref="E1:E6" totalsRowShown="0" headerRowDxfId="92" dataDxfId="91">
  <autoFilter ref="E1:E6"/>
  <tableColumns count="1">
    <tableColumn id="1" name="tender_type_reason_limited" dataDxfId="90"/>
  </tableColumns>
  <tableStyleInfo name="TableStyleMedium2" showFirstColumn="0" showLastColumn="0" showRowStripes="1" showColumnStripes="0"/>
</table>
</file>

<file path=xl/tables/table5.xml><?xml version="1.0" encoding="utf-8"?>
<table xmlns="http://schemas.openxmlformats.org/spreadsheetml/2006/main" id="6" name="t_technical_committee" displayName="t_technical_committee" ref="F1:F5" totalsRowShown="0" headerRowDxfId="89" dataDxfId="88">
  <autoFilter ref="F1:F5"/>
  <tableColumns count="1">
    <tableColumn id="1" name="technical_committee" dataDxfId="87"/>
  </tableColumns>
  <tableStyleInfo name="TableStyleMedium2" showFirstColumn="0" showLastColumn="0" showRowStripes="1" showColumnStripes="0"/>
</table>
</file>

<file path=xl/tables/table6.xml><?xml version="1.0" encoding="utf-8"?>
<table xmlns="http://schemas.openxmlformats.org/spreadsheetml/2006/main" id="7" name="t_tender_opening_committee" displayName="t_tender_opening_committee" ref="G1:G2" totalsRowShown="0" headerRowDxfId="86" dataDxfId="85">
  <autoFilter ref="G1:G2"/>
  <tableColumns count="1">
    <tableColumn id="1" name="tender_opening_committee" dataDxfId="84"/>
  </tableColumns>
  <tableStyleInfo name="TableStyleMedium2" showFirstColumn="0" showLastColumn="0" showRowStripes="1" showColumnStripes="0"/>
</table>
</file>

<file path=xl/tables/table7.xml><?xml version="1.0" encoding="utf-8"?>
<table xmlns="http://schemas.openxmlformats.org/spreadsheetml/2006/main" id="8" name="t_tender_check_committee" displayName="t_tender_check_committee" ref="H1:H2" totalsRowShown="0" headerRowDxfId="83" dataDxfId="82">
  <autoFilter ref="H1:H2"/>
  <tableColumns count="1">
    <tableColumn id="1" name="tender_check_committee" dataDxfId="81"/>
  </tableColumns>
  <tableStyleInfo name="TableStyleMedium2" showFirstColumn="0" showLastColumn="0" showRowStripes="1" showColumnStripes="0"/>
</table>
</file>

<file path=xl/tables/table8.xml><?xml version="1.0" encoding="utf-8"?>
<table xmlns="http://schemas.openxmlformats.org/spreadsheetml/2006/main" id="9" name="t_tender_submission_method" displayName="t_tender_submission_method" ref="I1:I3" totalsRowShown="0" headerRowDxfId="80" dataDxfId="79">
  <autoFilter ref="I1:I3"/>
  <tableColumns count="1">
    <tableColumn id="1" name="tender_submission_method" dataDxfId="78"/>
  </tableColumns>
  <tableStyleInfo name="TableStyleMedium2" showFirstColumn="0" showLastColumn="0" showRowStripes="1" showColumnStripes="0"/>
</table>
</file>

<file path=xl/tables/table9.xml><?xml version="1.0" encoding="utf-8"?>
<table xmlns="http://schemas.openxmlformats.org/spreadsheetml/2006/main" id="10" name="t_pre_qualification" displayName="t_pre_qualification" ref="B1:B2" totalsRowShown="0" headerRowDxfId="77" dataDxfId="76">
  <autoFilter ref="B1:B2"/>
  <tableColumns count="1">
    <tableColumn id="1" name="pre_qualification" dataDxfId="75"/>
  </tableColumns>
  <tableStyleInfo name="TableStyleMedium2" showFirstColumn="0" showLastColumn="0" showRowStripes="1" showColumnStripes="0"/>
</table>
</file>

<file path=xl/tables/table10.xml><?xml version="1.0" encoding="utf-8"?>
<table xmlns="http://schemas.openxmlformats.org/spreadsheetml/2006/main" id="11" name="t_invitation_type" displayName="t_invitation_type" ref="J1:J3" totalsRowShown="0" headerRowDxfId="74" dataDxfId="73">
  <autoFilter ref="J1:J3"/>
  <tableColumns count="1">
    <tableColumn id="1" name="invitation_type" dataDxfId="72"/>
  </tableColumns>
  <tableStyleInfo name="TableStyleMedium2" showFirstColumn="0" showLastColumn="0" showRowStripes="1" showColumnStripes="0"/>
</table>
</file>

<file path=xl/tables/table11.xml><?xml version="1.0" encoding="utf-8"?>
<table xmlns="http://schemas.openxmlformats.org/spreadsheetml/2006/main" id="12" name="t_agreement_type" displayName="t_agreement_type" ref="K1:K3" totalsRowShown="0" headerRowDxfId="71" dataDxfId="70">
  <autoFilter ref="K1:K3"/>
  <tableColumns count="1">
    <tableColumn id="1" name="agreement_type" dataDxfId="69"/>
  </tableColumns>
  <tableStyleInfo name="TableStyleMedium2" showFirstColumn="0" showLastColumn="0" showRowStripes="1" showColumnStripes="0"/>
</table>
</file>

<file path=xl/tables/table12.xml><?xml version="1.0" encoding="utf-8"?>
<table xmlns="http://schemas.openxmlformats.org/spreadsheetml/2006/main" id="13" name="t_beneficiaries" displayName="t_beneficiaries" ref="L1:L1011" totalsRowShown="0" headerRowDxfId="68" dataDxfId="67">
  <autoFilter ref="L1:L1011"/>
  <tableColumns count="1">
    <tableColumn id="1" name="beneficiaries" dataDxfId="66"/>
  </tableColumns>
  <tableStyleInfo name="TableStyleMedium2" showFirstColumn="0" showLastColumn="0" showRowStripes="1" showColumnStripes="0"/>
</table>
</file>

<file path=xl/tables/table13.xml><?xml version="1.0" encoding="utf-8"?>
<table xmlns="http://schemas.openxmlformats.org/spreadsheetml/2006/main" id="14" name="t_direct_purchase_committee" displayName="t_direct_purchase_committee" ref="M1:M2" totalsRowShown="0" headerRowDxfId="65" dataDxfId="64">
  <autoFilter ref="M1:M2"/>
  <tableColumns count="1">
    <tableColumn id="1" name="direct_purchase_committee" dataDxfId="63"/>
  </tableColumns>
  <tableStyleInfo name="TableStyleMedium2" showFirstColumn="0" showLastColumn="0" showRowStripes="1" showColumnStripes="0"/>
</table>
</file>

<file path=xl/tables/table14.xml><?xml version="1.0" encoding="utf-8"?>
<table xmlns="http://schemas.openxmlformats.org/spreadsheetml/2006/main" id="15" name="t_action_type" displayName="t_action_type" ref="N1:N3" totalsRowShown="0" headerRowDxfId="62" dataDxfId="61">
  <autoFilter ref="N1:N3"/>
  <tableColumns count="1">
    <tableColumn id="1" name="action_type" dataDxfId="60"/>
  </tableColumns>
  <tableStyleInfo name="TableStyleMedium2" showFirstColumn="0" showLastColumn="0" showRowStripes="1" showColumnStripes="0"/>
</table>
</file>

<file path=xl/tables/table15.xml><?xml version="1.0" encoding="utf-8"?>
<table xmlns="http://schemas.openxmlformats.org/spreadsheetml/2006/main" id="16" name="t_initial_bank_guarantee" displayName="t_initial_bank_guarantee" ref="O1:O3" totalsRowShown="0" headerRowDxfId="59" dataDxfId="58">
  <autoFilter ref="O1:O3"/>
  <tableColumns count="1">
    <tableColumn id="1" name="initial_bank_guarantee" dataDxfId="57"/>
  </tableColumns>
  <tableStyleInfo name="TableStyleMedium2" showFirstColumn="0" showLastColumn="0" showRowStripes="1" showColumnStripes="0"/>
</table>
</file>

<file path=xl/tables/table16.xml><?xml version="1.0" encoding="utf-8"?>
<table xmlns="http://schemas.openxmlformats.org/spreadsheetml/2006/main" id="17" name="t_yes_no" displayName="t_yes_no" ref="P1:P3" totalsRowShown="0" headerRowDxfId="56" dataDxfId="55">
  <autoFilter ref="P1:P3"/>
  <tableColumns count="1">
    <tableColumn id="1" name="yes_no" dataDxfId="54"/>
  </tableColumns>
  <tableStyleInfo name="TableStyleMedium2" showFirstColumn="0" showLastColumn="0" showRowStripes="1" showColumnStripes="0"/>
</table>
</file>

<file path=xl/tables/table17.xml><?xml version="1.0" encoding="utf-8"?>
<table xmlns="http://schemas.openxmlformats.org/spreadsheetml/2006/main" id="18" name="t_bids_opening_location" displayName="t_bids_opening_location" ref="Q1:Q3" totalsRowShown="0" headerRowDxfId="53" dataDxfId="52">
  <autoFilter ref="Q1:Q3"/>
  <tableColumns count="1">
    <tableColumn id="1" name="bids_opening_location" dataDxfId="51"/>
  </tableColumns>
  <tableStyleInfo name="TableStyleMedium2" showFirstColumn="0" showLastColumn="0" showRowStripes="1" showColumnStripes="0"/>
</table>
</file>

<file path=xl/tables/table18.xml><?xml version="1.0" encoding="utf-8"?>
<table xmlns="http://schemas.openxmlformats.org/spreadsheetml/2006/main" id="19" name="t_states" displayName="t_states" ref="Y1:Y14" totalsRowShown="0" headerRowDxfId="50" dataDxfId="49">
  <autoFilter ref="Y1:Y14"/>
  <tableColumns count="1">
    <tableColumn id="1" name="states" dataDxfId="48"/>
  </tableColumns>
  <tableStyleInfo name="TableStyleMedium2" showFirstColumn="0" showLastColumn="0" showRowStripes="1" showColumnStripes="0"/>
</table>
</file>

<file path=xl/tables/table19.xml><?xml version="1.0" encoding="utf-8"?>
<table xmlns="http://schemas.openxmlformats.org/spreadsheetml/2006/main" id="20" name="t_countries" displayName="t_countries" ref="Z1:Z247" totalsRowShown="0" headerRowDxfId="47" dataDxfId="46">
  <autoFilter ref="Z1:Z247"/>
  <tableColumns count="1">
    <tableColumn id="1" name="countries" dataDxfId="45"/>
  </tableColumns>
  <tableStyleInfo name="TableStyleMedium2" showFirstColumn="0" showLastColumn="0" showRowStripes="1" showColumnStripes="0"/>
</table>
</file>

<file path=xl/tables/table20.xml><?xml version="1.0" encoding="utf-8"?>
<table xmlns="http://schemas.openxmlformats.org/spreadsheetml/2006/main" id="21" name="t_construction_works" displayName="t_construction_works" ref="AA1:AA91" totalsRowShown="0" headerRowDxfId="44" dataDxfId="43">
  <autoFilter ref="AA1:AA91"/>
  <tableColumns count="1">
    <tableColumn id="1" name="construction_works" dataDxfId="42"/>
  </tableColumns>
  <tableStyleInfo name="TableStyleMedium2" showFirstColumn="0" showLastColumn="0" showRowStripes="1" showColumnStripes="0"/>
</table>
</file>

<file path=xl/tables/table21.xml><?xml version="1.0" encoding="utf-8"?>
<table xmlns="http://schemas.openxmlformats.org/spreadsheetml/2006/main" id="22" name="t_operation_maintenance_works" displayName="t_operation_maintenance_works" ref="AB1:AB20" totalsRowShown="0" headerRowDxfId="41" dataDxfId="40">
  <autoFilter ref="AB1:AB20"/>
  <tableColumns count="1">
    <tableColumn id="1" name="operation_maintenance_works" dataDxfId="39"/>
  </tableColumns>
  <tableStyleInfo name="TableStyleMedium2" showFirstColumn="0" showLastColumn="0" showRowStripes="1" showColumnStripes="0"/>
</table>
</file>

<file path=xl/tables/table22.xml><?xml version="1.0" encoding="utf-8"?>
<table xmlns="http://schemas.openxmlformats.org/spreadsheetml/2006/main" id="23" name="t_activities" displayName="t_activities" ref="AC1:AE98" totalsRowShown="0" headerRowDxfId="38" dataDxfId="37">
  <autoFilter ref="AC1:AE98"/>
  <tableColumns count="3">
    <tableColumn id="1" name="activities" dataDxfId="36"/>
    <tableColumn id="2" name="show_years" dataDxfId="35"/>
    <tableColumn id="3" name="selected_result" dataDxfId="34">
      <calculatedColumnFormula>IF(ISNUMBER(SEARCH(t_activities[[#This Row],[activities]],Form!$B$74)),t_activities[[#This Row],[show_years]],0)</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4" name="t_documents" displayName="t_documents" ref="AF1:AF10" totalsRowShown="0" headerRowDxfId="33" dataDxfId="32">
  <autoFilter ref="AF1:AF10"/>
  <tableColumns count="1">
    <tableColumn id="1" name="documents" dataDxfId="31"/>
  </tableColumns>
  <tableStyleInfo name="TableStyleMedium2" showFirstColumn="0" showLastColumn="0" showRowStripes="1" showColumnStripes="0"/>
</table>
</file>

<file path=xl/tables/table24.xml><?xml version="1.0" encoding="utf-8"?>
<table xmlns="http://schemas.openxmlformats.org/spreadsheetml/2006/main" id="1" name="t_day" displayName="t_day" ref="R1:R32" totalsRowShown="0" headerRowDxfId="30" dataDxfId="29">
  <autoFilter ref="R1:R32"/>
  <tableColumns count="1">
    <tableColumn id="1" name="day" dataDxfId="28"/>
  </tableColumns>
  <tableStyleInfo name="TableStyleMedium2" showFirstColumn="0" showLastColumn="0" showRowStripes="1" showColumnStripes="0"/>
</table>
</file>

<file path=xl/tables/table25.xml><?xml version="1.0" encoding="utf-8"?>
<table xmlns="http://schemas.openxmlformats.org/spreadsheetml/2006/main" id="25" name="t_month" displayName="t_month" ref="S1:S13" totalsRowShown="0" headerRowDxfId="27" dataDxfId="26">
  <autoFilter ref="S1:S13"/>
  <tableColumns count="1">
    <tableColumn id="1" name="month" dataDxfId="25"/>
  </tableColumns>
  <tableStyleInfo name="TableStyleMedium2" showFirstColumn="0" showLastColumn="0" showRowStripes="1" showColumnStripes="0"/>
</table>
</file>

<file path=xl/tables/table26.xml><?xml version="1.0" encoding="utf-8"?>
<table xmlns="http://schemas.openxmlformats.org/spreadsheetml/2006/main" id="26" name="t_year" displayName="t_year" ref="T1:T82" totalsRowShown="0" headerRowDxfId="24" dataDxfId="23">
  <autoFilter ref="T1:T82"/>
  <tableColumns count="1">
    <tableColumn id="1" name="year" dataDxfId="22"/>
  </tableColumns>
  <tableStyleInfo name="TableStyleMedium2" showFirstColumn="0" showLastColumn="0" showRowStripes="1" showColumnStripes="0"/>
</table>
</file>

<file path=xl/tables/table27.xml><?xml version="1.0" encoding="utf-8"?>
<table xmlns="http://schemas.openxmlformats.org/spreadsheetml/2006/main" id="28" name="t_minute" displayName="t_minute" ref="U1:U61" totalsRowShown="0" headerRowDxfId="21" dataDxfId="20">
  <autoFilter ref="U1:U61"/>
  <tableColumns count="1">
    <tableColumn id="1" name="minute" dataDxfId="19"/>
  </tableColumns>
  <tableStyleInfo name="TableStyleMedium2" showFirstColumn="0" showLastColumn="0" showRowStripes="1" showColumnStripes="0"/>
</table>
</file>

<file path=xl/tables/table28.xml><?xml version="1.0" encoding="utf-8"?>
<table xmlns="http://schemas.openxmlformats.org/spreadsheetml/2006/main" id="30" name="t_hour" displayName="t_hour" ref="V1:V13" totalsRowShown="0" headerRowDxfId="18" dataDxfId="17">
  <autoFilter ref="V1:V13"/>
  <tableColumns count="1">
    <tableColumn id="1" name="hour" dataDxfId="16"/>
  </tableColumns>
  <tableStyleInfo name="TableStyleMedium2" showFirstColumn="0" showLastColumn="0" showRowStripes="1" showColumnStripes="0"/>
</table>
</file>

<file path=xl/tables/table29.xml><?xml version="1.0" encoding="utf-8"?>
<table xmlns="http://schemas.openxmlformats.org/spreadsheetml/2006/main" id="31" name="t_am_pm" displayName="t_am_pm" ref="W1:W3" totalsRowShown="0" headerRowDxfId="15" dataDxfId="14">
  <autoFilter ref="W1:W3"/>
  <tableColumns count="1">
    <tableColumn id="1" name="am_pm" dataDxfId="13"/>
  </tableColumns>
  <tableStyleInfo name="TableStyleMedium2" showFirstColumn="0" showLastColumn="0" showRowStripes="1" showColumnStripes="0"/>
</table>
</file>

<file path=xl/tables/table30.xml><?xml version="1.0" encoding="utf-8"?>
<table xmlns="http://schemas.openxmlformats.org/spreadsheetml/2006/main" id="32" name="t_execution_location" displayName="t_execution_location" ref="X1:X3" totalsRowShown="0" headerRowDxfId="12" dataDxfId="11">
  <autoFilter ref="X1:X3"/>
  <tableColumns count="1">
    <tableColumn id="1" name="execution_location" dataDxfId="10"/>
  </tableColumns>
  <tableStyleInfo name="TableStyleMedium2" showFirstColumn="0" showLastColumn="0" showRowStripes="1" showColumnStripes="0"/>
</table>
</file>

<file path=xl/tables/table31.xml><?xml version="1.0" encoding="utf-8"?>
<table xmlns="http://schemas.openxmlformats.org/spreadsheetml/2006/main" id="27" name="t_floar_number" displayName="t_floar_number" ref="AG1:AG15" totalsRowShown="0" headerRowDxfId="9" dataDxfId="8">
  <autoFilter ref="AG1:AG15"/>
  <tableColumns count="1">
    <tableColumn id="1" name="floar_number" dataDxfId="7"/>
  </tableColumns>
  <tableStyleInfo name="TableStyleMedium2" showFirstColumn="0" showLastColumn="0" showRowStripes="1" showColumnStripes="0"/>
</table>
</file>

<file path=xl/tables/table32.xml><?xml version="1.0" encoding="utf-8"?>
<table xmlns="http://schemas.openxmlformats.org/spreadsheetml/2006/main" id="29" name="t_local_content_mechanism" displayName="t_local_content_mechanism" ref="AH1:AH4" totalsRowShown="0" headerRowDxfId="6" headerRowBorderDxfId="5" tableBorderDxfId="4" totalsRowBorderDxfId="3">
  <autoFilter ref="AH1:AH4"/>
  <tableColumns count="1">
    <tableColumn id="1" name="local_content_mechanism"/>
  </tableColumns>
  <tableStyleInfo name="TableStyleMedium2" showFirstColumn="0" showLastColumn="0" showRowStripes="1" showColumnStripes="0"/>
</table>
</file>

<file path=xl/tables/table33.xml><?xml version="1.0" encoding="utf-8"?>
<table xmlns="http://schemas.openxmlformats.org/spreadsheetml/2006/main" id="33" name="t_template_years" displayName="t_template_years" ref="AI1:AI6" totalsRowShown="0" headerRowDxfId="2" dataDxfId="1">
  <autoFilter ref="AI1:AI6"/>
  <tableColumns count="1">
    <tableColumn id="1" name="template_year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1" Type="http://schemas.openxmlformats.org/officeDocument/2006/relationships/printerSettings" Target="../printerSettings/printerSettings3.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8"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sheetPr>
  <dimension ref="A1:Z132"/>
  <sheetViews>
    <sheetView rightToLeft="1" tabSelected="1" zoomScaleNormal="100" workbookViewId="0">
      <selection activeCell="B10" sqref="B10:G10"/>
    </sheetView>
  </sheetViews>
  <sheetFormatPr defaultColWidth="9.125" defaultRowHeight="14.25" x14ac:dyDescent="0.2"/>
  <cols>
    <col min="1" max="1" width="52.875" style="19" customWidth="1"/>
    <col min="2" max="2" width="8.625" style="19" customWidth="1"/>
    <col min="3" max="3" width="17.125" style="19" customWidth="1"/>
    <col min="4" max="4" width="8.625" style="19" customWidth="1"/>
    <col min="5" max="5" width="17.125" style="19" customWidth="1"/>
    <col min="6" max="6" width="8.625" style="19" customWidth="1"/>
    <col min="7" max="7" width="17.125" style="19" customWidth="1"/>
    <col min="8" max="8" width="7.125" style="74" customWidth="1"/>
    <col min="9" max="9" width="59.25" style="19" customWidth="1"/>
    <col min="10" max="10" width="9.75" style="75" hidden="1" customWidth="1"/>
    <col min="11" max="26" width="10.75" style="75" hidden="1" customWidth="1"/>
    <col min="27" max="27" width="10.75" style="75" customWidth="1"/>
    <col min="28" max="16384" width="9.125" style="75"/>
  </cols>
  <sheetData>
    <row r="1" spans="1:24" s="6" customFormat="1" ht="37.5" customHeight="1" x14ac:dyDescent="0.2">
      <c r="A1" s="100" t="s">
        <v>1639</v>
      </c>
      <c r="B1" s="101"/>
      <c r="C1" s="101"/>
      <c r="D1" s="101"/>
      <c r="E1" s="101"/>
      <c r="F1" s="101"/>
      <c r="G1" s="101"/>
      <c r="H1" s="101"/>
      <c r="I1" s="102"/>
    </row>
    <row r="2" spans="1:24" s="6" customFormat="1" ht="18" x14ac:dyDescent="0.25">
      <c r="A2" s="92" t="s">
        <v>1640</v>
      </c>
      <c r="B2" s="38"/>
      <c r="C2" s="38"/>
      <c r="D2" s="38"/>
      <c r="E2" s="38"/>
      <c r="F2" s="38"/>
      <c r="G2" s="38"/>
      <c r="H2" s="39"/>
      <c r="I2" s="40"/>
    </row>
    <row r="3" spans="1:24" s="6" customFormat="1" ht="15.75" x14ac:dyDescent="0.25">
      <c r="A3" s="91" t="s">
        <v>1641</v>
      </c>
      <c r="B3" s="38"/>
      <c r="C3" s="38"/>
      <c r="D3" s="41"/>
      <c r="E3" s="38"/>
      <c r="F3" s="38"/>
      <c r="G3" s="38"/>
      <c r="H3" s="39"/>
      <c r="I3" s="40"/>
    </row>
    <row r="4" spans="1:24" s="6" customFormat="1" ht="15.75" x14ac:dyDescent="0.25">
      <c r="A4" s="93" t="s">
        <v>1642</v>
      </c>
      <c r="B4" s="38"/>
      <c r="C4" s="38"/>
      <c r="D4" s="50"/>
      <c r="E4" s="38"/>
      <c r="F4" s="38"/>
      <c r="G4" s="38"/>
      <c r="H4" s="39"/>
      <c r="I4" s="40"/>
    </row>
    <row r="5" spans="1:24" s="6" customFormat="1" ht="15.75" x14ac:dyDescent="0.25">
      <c r="A5" s="91" t="s">
        <v>1644</v>
      </c>
      <c r="B5" s="38"/>
      <c r="C5" s="38"/>
      <c r="D5" s="42"/>
      <c r="E5" s="38"/>
      <c r="F5" s="38"/>
      <c r="G5" s="38"/>
      <c r="H5" s="39"/>
      <c r="I5" s="40"/>
    </row>
    <row r="6" spans="1:24" s="6" customFormat="1" x14ac:dyDescent="0.2">
      <c r="A6" s="37"/>
      <c r="B6" s="38"/>
      <c r="C6" s="47"/>
      <c r="D6" s="47"/>
      <c r="E6" s="47"/>
      <c r="F6" s="47"/>
      <c r="G6" s="47"/>
      <c r="H6" s="48"/>
      <c r="I6" s="49"/>
    </row>
    <row r="7" spans="1:24" s="6" customFormat="1" x14ac:dyDescent="0.2">
      <c r="A7" s="43"/>
      <c r="B7" s="44"/>
      <c r="C7" s="44"/>
      <c r="D7" s="44"/>
      <c r="E7" s="44"/>
      <c r="F7" s="44"/>
      <c r="G7" s="44"/>
      <c r="H7" s="45"/>
      <c r="I7" s="46"/>
    </row>
    <row r="8" spans="1:24" s="6" customFormat="1" ht="37.5" customHeight="1" x14ac:dyDescent="0.3">
      <c r="A8" s="51" t="s">
        <v>37</v>
      </c>
      <c r="B8" s="52"/>
      <c r="C8" s="52"/>
      <c r="D8" s="52"/>
      <c r="E8" s="52"/>
      <c r="F8" s="52"/>
      <c r="G8" s="52"/>
      <c r="H8" s="52"/>
      <c r="I8" s="53"/>
    </row>
    <row r="9" spans="1:24" s="6" customFormat="1" ht="22.5" customHeight="1" x14ac:dyDescent="0.2">
      <c r="A9" s="7" t="s">
        <v>0</v>
      </c>
      <c r="B9" s="112" t="s">
        <v>1</v>
      </c>
      <c r="C9" s="113"/>
      <c r="D9" s="113"/>
      <c r="E9" s="113"/>
      <c r="F9" s="113"/>
      <c r="G9" s="114"/>
      <c r="H9" s="7" t="s">
        <v>35</v>
      </c>
      <c r="I9" s="7" t="s">
        <v>30</v>
      </c>
      <c r="J9" s="6" t="s">
        <v>1671</v>
      </c>
      <c r="K9" s="6" t="s">
        <v>29</v>
      </c>
    </row>
    <row r="10" spans="1:24" s="6" customFormat="1" ht="22.5" customHeight="1" x14ac:dyDescent="0.2">
      <c r="A10" s="1" t="s">
        <v>2</v>
      </c>
      <c r="B10" s="115"/>
      <c r="C10" s="116"/>
      <c r="D10" s="116"/>
      <c r="E10" s="116"/>
      <c r="F10" s="116"/>
      <c r="G10" s="117"/>
      <c r="H10" s="8" t="s">
        <v>36</v>
      </c>
      <c r="I10" s="1"/>
      <c r="K10" s="6">
        <v>1</v>
      </c>
    </row>
    <row r="11" spans="1:24" s="6" customFormat="1" ht="22.5" customHeight="1" x14ac:dyDescent="0.2">
      <c r="A11" s="56" t="s">
        <v>3</v>
      </c>
      <c r="B11" s="109" t="s">
        <v>10</v>
      </c>
      <c r="C11" s="110"/>
      <c r="D11" s="110"/>
      <c r="E11" s="110"/>
      <c r="F11" s="110"/>
      <c r="G11" s="111"/>
      <c r="H11" s="9" t="s">
        <v>36</v>
      </c>
      <c r="I11" s="2"/>
      <c r="K11" s="6">
        <v>1</v>
      </c>
      <c r="L11" s="6" t="s">
        <v>10</v>
      </c>
      <c r="M11" s="6" t="s">
        <v>11</v>
      </c>
      <c r="N11" s="6" t="s">
        <v>12</v>
      </c>
      <c r="O11" s="6" t="s">
        <v>13</v>
      </c>
      <c r="P11" s="6" t="s">
        <v>14</v>
      </c>
      <c r="Q11" s="6" t="s">
        <v>15</v>
      </c>
    </row>
    <row r="12" spans="1:24" s="6" customFormat="1" ht="22.5" customHeight="1" x14ac:dyDescent="0.2">
      <c r="A12" s="56" t="s">
        <v>4</v>
      </c>
      <c r="B12" s="109"/>
      <c r="C12" s="110"/>
      <c r="D12" s="110"/>
      <c r="E12" s="110"/>
      <c r="F12" s="110"/>
      <c r="G12" s="111"/>
      <c r="H12" s="9" t="s">
        <v>36</v>
      </c>
      <c r="I12" s="2"/>
      <c r="K12" s="6" t="b">
        <f>AND(OR(IF($L12,$B$11=$L$11),IF($M12,$B$11=$M$11),IF($N12,$B$11=$N$11),IF($O12,$B$11=$O$11),IF($P12,$B$11=$P$11),IF($Q12,$B$11=$Q$11)))</f>
        <v>1</v>
      </c>
      <c r="L12" s="6">
        <v>1</v>
      </c>
      <c r="M12" s="6">
        <v>1</v>
      </c>
      <c r="N12" s="6">
        <v>1</v>
      </c>
      <c r="O12" s="6">
        <v>1</v>
      </c>
      <c r="P12" s="6">
        <v>1</v>
      </c>
      <c r="Q12" s="6">
        <v>1</v>
      </c>
    </row>
    <row r="13" spans="1:24" s="6" customFormat="1" ht="22.5" customHeight="1" x14ac:dyDescent="0.2">
      <c r="A13" s="56" t="s">
        <v>5</v>
      </c>
      <c r="B13" s="109"/>
      <c r="C13" s="110"/>
      <c r="D13" s="110"/>
      <c r="E13" s="110"/>
      <c r="F13" s="110"/>
      <c r="G13" s="111"/>
      <c r="H13" s="9" t="s">
        <v>36</v>
      </c>
      <c r="I13" s="2"/>
      <c r="K13" s="6" t="b">
        <f>AND(OR(IF($L13,$B$11=$L$11),IF($M13,$B$11=$M$11),IF($N13,$B$11=$N$11),IF($O13,$B$11=$O$11),IF($P13,$B$11=$P$11),IF($Q13,$B$11=$Q$11)))</f>
        <v>1</v>
      </c>
      <c r="L13" s="6">
        <v>1</v>
      </c>
      <c r="M13" s="6">
        <v>0</v>
      </c>
      <c r="N13" s="6">
        <v>1</v>
      </c>
      <c r="O13" s="6">
        <v>1</v>
      </c>
      <c r="P13" s="6">
        <v>1</v>
      </c>
      <c r="Q13" s="6">
        <v>0</v>
      </c>
    </row>
    <row r="14" spans="1:24" s="6" customFormat="1" ht="22.5" customHeight="1" x14ac:dyDescent="0.2">
      <c r="A14" s="56" t="s">
        <v>1379</v>
      </c>
      <c r="B14" s="109"/>
      <c r="C14" s="110"/>
      <c r="D14" s="110"/>
      <c r="E14" s="110"/>
      <c r="F14" s="110"/>
      <c r="G14" s="111"/>
      <c r="H14" s="9" t="s">
        <v>36</v>
      </c>
      <c r="I14" s="2"/>
      <c r="K14" s="6" t="b">
        <f>AND(OR(IF($L14,$B$11=$L$11),IF($M14,$B$11=$M$11),IF($N14,$B$11=$N$11),IF($O14,$B$11=$O$11),IF($P14,$B$11=$P$11),IF($Q14,$B$11=$Q$11)))</f>
        <v>0</v>
      </c>
      <c r="L14" s="6">
        <v>0</v>
      </c>
      <c r="M14" s="6">
        <v>1</v>
      </c>
      <c r="N14" s="6">
        <v>0</v>
      </c>
      <c r="O14" s="6">
        <v>0</v>
      </c>
      <c r="P14" s="6">
        <v>0</v>
      </c>
      <c r="Q14" s="6">
        <v>0</v>
      </c>
      <c r="R14" s="6" t="s">
        <v>19</v>
      </c>
      <c r="S14" s="6" t="s">
        <v>20</v>
      </c>
      <c r="T14" s="6" t="s">
        <v>21</v>
      </c>
      <c r="U14" s="6" t="s">
        <v>22</v>
      </c>
      <c r="V14" s="6" t="s">
        <v>26</v>
      </c>
      <c r="W14" s="6" t="s">
        <v>27</v>
      </c>
      <c r="X14" s="6" t="s">
        <v>28</v>
      </c>
    </row>
    <row r="15" spans="1:24" s="6" customFormat="1" ht="22.5" customHeight="1" x14ac:dyDescent="0.2">
      <c r="A15" s="56" t="s">
        <v>1380</v>
      </c>
      <c r="B15" s="109"/>
      <c r="C15" s="110"/>
      <c r="D15" s="110"/>
      <c r="E15" s="110"/>
      <c r="F15" s="110"/>
      <c r="G15" s="111"/>
      <c r="H15" s="9" t="s">
        <v>36</v>
      </c>
      <c r="I15" s="2"/>
      <c r="K15" s="6" t="b">
        <f>AND(OR(IF($L15,$B$11=$L$11),IF($M15,$B$11=$M$11),IF($N15,$B$11=$N$11),IF($O15,$B$11=$O$11),IF($P15,$B$11=$P$11),IF($Q15,$B$11=$Q$11)))</f>
        <v>0</v>
      </c>
      <c r="L15" s="6">
        <v>0</v>
      </c>
      <c r="M15" s="6">
        <v>0</v>
      </c>
      <c r="N15" s="6">
        <v>1</v>
      </c>
      <c r="O15" s="6">
        <v>0</v>
      </c>
      <c r="P15" s="6">
        <v>0</v>
      </c>
      <c r="Q15" s="6">
        <v>0</v>
      </c>
    </row>
    <row r="16" spans="1:24" s="6" customFormat="1" ht="22.5" customHeight="1" x14ac:dyDescent="0.2">
      <c r="A16" s="56" t="s">
        <v>28</v>
      </c>
      <c r="B16" s="109"/>
      <c r="C16" s="110"/>
      <c r="D16" s="110"/>
      <c r="E16" s="110"/>
      <c r="F16" s="110"/>
      <c r="G16" s="111"/>
      <c r="H16" s="9" t="s">
        <v>36</v>
      </c>
      <c r="I16" s="2"/>
      <c r="K16" s="6" t="b">
        <f>IF($M$16,IF($B$14=$X$14,TRUE,FALSE),IF($N$16,IF($B$15=$X$14,TRUE,FALSE),FALSE))</f>
        <v>0</v>
      </c>
      <c r="L16" s="6">
        <v>0</v>
      </c>
      <c r="M16" s="6" t="b">
        <f>IF($B$11=M$11,TRUE,FALSE)</f>
        <v>0</v>
      </c>
      <c r="N16" s="6" t="b">
        <f>IF($B$11=N$11,TRUE,FALSE)</f>
        <v>0</v>
      </c>
      <c r="O16" s="35">
        <v>0</v>
      </c>
      <c r="P16" s="35">
        <v>0</v>
      </c>
      <c r="Q16" s="6">
        <v>0</v>
      </c>
    </row>
    <row r="17" spans="1:26" s="6" customFormat="1" ht="22.5" customHeight="1" x14ac:dyDescent="0.2">
      <c r="A17" s="56" t="s">
        <v>16</v>
      </c>
      <c r="B17" s="109"/>
      <c r="C17" s="110"/>
      <c r="D17" s="110"/>
      <c r="E17" s="110"/>
      <c r="F17" s="110"/>
      <c r="G17" s="111"/>
      <c r="H17" s="9" t="s">
        <v>36</v>
      </c>
      <c r="I17" s="2"/>
      <c r="K17" s="6" t="b">
        <f>AND(OR(IF($L17,$B$11=$L$11),IF($M17,$B$11=$M$11),IF($N17,$B$11=$N$11),IF($O17,$B$11=$O$11),IF($P17,$B$11=$P$11),IF($Q16,$B$11=$Q$11)),IF($K$14,OR(IF($R17,$B$14=$R$14),IF($S17,$B$14=$S$14),IF($T17,$B$14=$T$14),IF($U17,$B$14=$U$14),IF($V17,$B$14=$V$14),IF($W17,$B$14=$W$14),IF($X17,$B$14=$X$14)),TRUE))</f>
        <v>1</v>
      </c>
      <c r="L17" s="6">
        <v>1</v>
      </c>
      <c r="M17" s="6">
        <v>1</v>
      </c>
      <c r="N17" s="6">
        <v>1</v>
      </c>
      <c r="O17" s="6">
        <v>1</v>
      </c>
      <c r="P17" s="6">
        <v>1</v>
      </c>
      <c r="Q17" s="6">
        <v>1</v>
      </c>
      <c r="R17" s="6">
        <v>1</v>
      </c>
      <c r="S17" s="6">
        <v>1</v>
      </c>
      <c r="T17" s="6">
        <v>1</v>
      </c>
      <c r="U17" s="6">
        <v>1</v>
      </c>
      <c r="V17" s="6">
        <v>1</v>
      </c>
      <c r="W17" s="6">
        <v>1</v>
      </c>
      <c r="X17" s="6">
        <v>1</v>
      </c>
    </row>
    <row r="18" spans="1:26" s="6" customFormat="1" ht="22.5" customHeight="1" x14ac:dyDescent="0.2">
      <c r="A18" s="56" t="s">
        <v>17</v>
      </c>
      <c r="B18" s="109" t="s">
        <v>1374</v>
      </c>
      <c r="C18" s="110"/>
      <c r="D18" s="110"/>
      <c r="E18" s="110"/>
      <c r="F18" s="110"/>
      <c r="G18" s="111"/>
      <c r="H18" s="9" t="s">
        <v>36</v>
      </c>
      <c r="I18" s="2"/>
      <c r="K18" s="6" t="b">
        <f>AND(OR(IF($L18,$B$11=$L$11),IF($M18,$B$11=$M$11),IF($N18,$B$11=$N$11),IF($O18,$B$11=$O$11),IF($P18,$B$11=$P$11),IF($Q17,$B$11=$Q$11)),IF($K$14,OR(IF($R18,$B$14=$R$14),IF($S18,$B$14=$S$14),IF($T18,$B$14=$T$14),IF($U18,$B$14=$U$14),IF($V18,$B$14=$V$14),IF($W18,$B$14=$W$14),IF($X18,$B$14=$X$14)),TRUE))</f>
        <v>1</v>
      </c>
      <c r="L18" s="6">
        <v>1</v>
      </c>
      <c r="M18" s="6">
        <v>0</v>
      </c>
      <c r="N18" s="6">
        <v>1</v>
      </c>
      <c r="O18" s="6">
        <v>0</v>
      </c>
      <c r="P18" s="6">
        <v>1</v>
      </c>
      <c r="Q18" s="6">
        <v>1</v>
      </c>
      <c r="R18" s="6">
        <v>0</v>
      </c>
      <c r="S18" s="6">
        <v>0</v>
      </c>
      <c r="T18" s="6">
        <v>0</v>
      </c>
      <c r="U18" s="6">
        <v>0</v>
      </c>
      <c r="V18" s="6">
        <v>0</v>
      </c>
      <c r="W18" s="6">
        <v>0</v>
      </c>
      <c r="X18" s="6">
        <v>0</v>
      </c>
    </row>
    <row r="19" spans="1:26" s="6" customFormat="1" ht="22.5" customHeight="1" x14ac:dyDescent="0.2">
      <c r="A19" s="56" t="s">
        <v>18</v>
      </c>
      <c r="B19" s="109" t="s">
        <v>1375</v>
      </c>
      <c r="C19" s="110"/>
      <c r="D19" s="110"/>
      <c r="E19" s="110"/>
      <c r="F19" s="110"/>
      <c r="G19" s="111"/>
      <c r="H19" s="9" t="s">
        <v>36</v>
      </c>
      <c r="I19" s="2"/>
      <c r="K19" s="6" t="b">
        <f>AND(OR(IF($L19,$B$11=$L$11),IF($M19,$B$11=$M$11),IF($N19,$B$11=$N$11),IF($O19,$B$11=$O$11),IF($P19,$B$11=$P$11),IF($Q18,$B$11=$Q$11)),IF($K$14,OR(IF($R19,$B$14=$R$14),IF($S19,$B$14=$S$14),IF($T19,$B$14=$T$14),IF($U19,$B$14=$U$14),IF($V19,$B$14=$V$14),IF($W19,$B$14=$W$14),IF($X19,$B$14=$X$14)),TRUE))</f>
        <v>1</v>
      </c>
      <c r="L19" s="6">
        <v>1</v>
      </c>
      <c r="M19" s="6">
        <v>0</v>
      </c>
      <c r="N19" s="6">
        <v>1</v>
      </c>
      <c r="O19" s="6">
        <v>1</v>
      </c>
      <c r="P19" s="6">
        <v>1</v>
      </c>
      <c r="R19" s="6">
        <v>0</v>
      </c>
      <c r="S19" s="6">
        <v>0</v>
      </c>
      <c r="T19" s="6">
        <v>0</v>
      </c>
      <c r="U19" s="6">
        <v>0</v>
      </c>
      <c r="V19" s="6">
        <v>0</v>
      </c>
      <c r="W19" s="6">
        <v>0</v>
      </c>
      <c r="X19" s="6">
        <v>0</v>
      </c>
    </row>
    <row r="20" spans="1:26" s="6" customFormat="1" ht="22.5" customHeight="1" x14ac:dyDescent="0.2">
      <c r="A20" s="56" t="s">
        <v>357</v>
      </c>
      <c r="B20" s="109" t="s">
        <v>41</v>
      </c>
      <c r="C20" s="110"/>
      <c r="D20" s="110"/>
      <c r="E20" s="110"/>
      <c r="F20" s="110"/>
      <c r="G20" s="111"/>
      <c r="H20" s="9"/>
      <c r="I20" s="2"/>
      <c r="K20" s="6" t="b">
        <f>AND(OR(IF($L20,$B$11=$L$11),IF($M20,$B$11=$M$11),IF($N20,$B$11=$N$11),IF($O20,$B$11=$O$11),IF($P20,$B$11=$P$11),IF($Q19,$B$11=$Q$11)))</f>
        <v>0</v>
      </c>
      <c r="L20" s="6">
        <v>0</v>
      </c>
      <c r="M20" s="6">
        <v>0</v>
      </c>
      <c r="N20" s="6">
        <v>1</v>
      </c>
      <c r="O20" s="35">
        <v>0</v>
      </c>
      <c r="P20" s="35">
        <v>0</v>
      </c>
      <c r="Q20" s="6">
        <v>0</v>
      </c>
      <c r="R20" s="6" t="s">
        <v>36</v>
      </c>
      <c r="S20" s="6" t="s">
        <v>41</v>
      </c>
    </row>
    <row r="21" spans="1:26" s="6" customFormat="1" ht="22.5" customHeight="1" x14ac:dyDescent="0.2">
      <c r="A21" s="56" t="s">
        <v>23</v>
      </c>
      <c r="B21" s="109"/>
      <c r="C21" s="110"/>
      <c r="D21" s="110"/>
      <c r="E21" s="110"/>
      <c r="F21" s="110"/>
      <c r="G21" s="111"/>
      <c r="H21" s="9" t="s">
        <v>36</v>
      </c>
      <c r="I21" s="2"/>
      <c r="K21" s="6" t="b">
        <f>AND(OR(IF($L21,$B$11=$L$11),IF($M21,$B$11=$M$11),IF($N21,$B$11=$N$11),IF($O21,$B$11=$O$11),IF($P21,$B$11=$P$11),IF($Q20,$B$11=$Q$11)),IF($K$14,OR(IF($R21,$B$14=$R$14),IF($S21,$B$14=$S$14),IF($T21,$B$14=$T$14),IF($U21,$B$14=$U$14),IF($V21,$B$14=$V$14),IF($W21,$B$14=$W$14),IF($X21,$B$14=$X$14)),TRUE))</f>
        <v>0</v>
      </c>
      <c r="L21" s="6">
        <v>0</v>
      </c>
      <c r="M21" s="6">
        <v>1</v>
      </c>
      <c r="N21" s="6" t="b">
        <f>IF(AND(K20,$B$20=R20),TRUE,FALSE)</f>
        <v>0</v>
      </c>
      <c r="O21" s="6">
        <v>0</v>
      </c>
      <c r="P21" s="35">
        <v>0</v>
      </c>
      <c r="Q21" s="6">
        <v>1</v>
      </c>
      <c r="R21" s="6">
        <v>0</v>
      </c>
      <c r="S21" s="6">
        <v>1</v>
      </c>
      <c r="T21" s="6">
        <v>0</v>
      </c>
      <c r="U21" s="6">
        <v>0</v>
      </c>
      <c r="V21" s="6">
        <v>0</v>
      </c>
      <c r="W21" s="6">
        <v>0</v>
      </c>
      <c r="X21" s="6">
        <v>0</v>
      </c>
    </row>
    <row r="22" spans="1:26" s="6" customFormat="1" ht="22.5" customHeight="1" x14ac:dyDescent="0.2">
      <c r="A22" s="56" t="s">
        <v>6</v>
      </c>
      <c r="B22" s="109" t="s">
        <v>41</v>
      </c>
      <c r="C22" s="110"/>
      <c r="D22" s="110"/>
      <c r="E22" s="110"/>
      <c r="F22" s="110"/>
      <c r="G22" s="111"/>
      <c r="H22" s="9"/>
      <c r="I22" s="2"/>
      <c r="K22" s="6" t="b">
        <f>AND(OR(IF($L22,$B$11=$L$11),IF($M22,$B$11=$M$11),IF($N22,$B$11=$N$11),IF($O22,$B$11=$O$11),IF($P22,$B$11=$P$11),IF($Q21,$B$11=$Q$11)),IF($K$14,OR(IF($R22,$B$14=$R$14),IF($S22,$B$14=$S$14),IF($T22,$B$14=$T$14),IF($U22,$B$14=$U$14),IF($V22,$B$14=$V$14),IF($W22,$B$14=$W$14),IF($X22,$B$14=$X$14)),TRUE))</f>
        <v>1</v>
      </c>
      <c r="L22" s="6">
        <v>1</v>
      </c>
      <c r="M22" s="6">
        <v>1</v>
      </c>
      <c r="N22" s="6">
        <v>1</v>
      </c>
      <c r="O22" s="6">
        <v>1</v>
      </c>
      <c r="P22" s="35">
        <v>1</v>
      </c>
      <c r="R22" s="6">
        <v>1</v>
      </c>
      <c r="S22" s="6">
        <v>1</v>
      </c>
      <c r="T22" s="6">
        <v>1</v>
      </c>
      <c r="U22" s="6">
        <v>1</v>
      </c>
      <c r="V22" s="6">
        <v>1</v>
      </c>
      <c r="W22" s="6">
        <v>1</v>
      </c>
      <c r="X22" s="6">
        <v>1</v>
      </c>
      <c r="Y22" s="6" t="s">
        <v>36</v>
      </c>
      <c r="Z22" s="6" t="s">
        <v>41</v>
      </c>
    </row>
    <row r="23" spans="1:26" s="6" customFormat="1" ht="22.5" customHeight="1" x14ac:dyDescent="0.2">
      <c r="A23" s="56" t="s">
        <v>356</v>
      </c>
      <c r="B23" s="109"/>
      <c r="C23" s="110"/>
      <c r="D23" s="110"/>
      <c r="E23" s="110"/>
      <c r="F23" s="110"/>
      <c r="G23" s="111"/>
      <c r="H23" s="9" t="s">
        <v>36</v>
      </c>
      <c r="I23" s="2"/>
      <c r="K23" s="6" t="b">
        <f>AND(OR(IF($Y23,$B$22=$Y$22),IF($Z23,$B$22=$Z$22)))</f>
        <v>0</v>
      </c>
      <c r="Q23" s="6">
        <v>0</v>
      </c>
      <c r="Y23" s="6">
        <v>1</v>
      </c>
      <c r="Z23" s="6">
        <v>0</v>
      </c>
    </row>
    <row r="24" spans="1:26" s="6" customFormat="1" ht="22.5" customHeight="1" x14ac:dyDescent="0.2">
      <c r="A24" s="56" t="s">
        <v>7</v>
      </c>
      <c r="B24" s="109" t="s">
        <v>345</v>
      </c>
      <c r="C24" s="110"/>
      <c r="D24" s="110"/>
      <c r="E24" s="110"/>
      <c r="F24" s="110"/>
      <c r="G24" s="111"/>
      <c r="H24" s="9"/>
      <c r="I24" s="2"/>
      <c r="K24" s="6" t="b">
        <f>AND(OR(IF($L24,$B$11=$L$11),IF($M24,$B$11=$M$11),IF($N24,$B$11=$N$11),IF($O24,$B$11=$O$11),IF($P24,$B$11=$P$11),IF($Q23,$B$11=$Q$11)),IF($K$14,OR(IF($R24,$B$14=$R$14),IF($S24,$B$14=$S$14),IF($T24,$B$14=$T$14),IF($U24,$B$14=$U$14),IF($V24,$B$14=$V$14),IF($W24,$B$14=$W$14),IF($X24,$B$14=$X$14)),TRUE))</f>
        <v>1</v>
      </c>
      <c r="L24" s="6">
        <v>1</v>
      </c>
      <c r="M24" s="6">
        <v>1</v>
      </c>
      <c r="N24" s="6">
        <v>1</v>
      </c>
      <c r="O24" s="6">
        <v>0</v>
      </c>
      <c r="P24" s="6">
        <v>1</v>
      </c>
      <c r="Q24" s="6" t="b">
        <f>IF($B$22=$Z$22,TRUE,FALSE)</f>
        <v>1</v>
      </c>
      <c r="R24" s="6">
        <v>1</v>
      </c>
      <c r="S24" s="6">
        <v>1</v>
      </c>
      <c r="T24" s="6">
        <v>1</v>
      </c>
      <c r="U24" s="6">
        <v>1</v>
      </c>
      <c r="V24" s="6">
        <v>1</v>
      </c>
      <c r="W24" s="6">
        <v>1</v>
      </c>
      <c r="X24" s="6">
        <v>1</v>
      </c>
    </row>
    <row r="25" spans="1:26" s="6" customFormat="1" ht="22.5" customHeight="1" x14ac:dyDescent="0.2">
      <c r="A25" s="56" t="s">
        <v>24</v>
      </c>
      <c r="B25" s="109"/>
      <c r="C25" s="110"/>
      <c r="D25" s="110"/>
      <c r="E25" s="110"/>
      <c r="F25" s="110"/>
      <c r="G25" s="111"/>
      <c r="H25" s="9" t="s">
        <v>36</v>
      </c>
      <c r="I25" s="2"/>
      <c r="K25" s="6" t="b">
        <f>AND(OR(IF($L25,$B$11=$L$11),IF($M25,$B$11=$M$11),IF($N25,$B$11=$N$11),IF($O25,$B$11=$O$11),IF($P25,$B$11=$P$11),IF($Q24,$B$11=$Q$11)),IF($K$14,OR(IF($R25,$B$14=$R$14),IF($S25,$B$14=$S$14),IF($T25,$B$14=$T$14),IF($U25,$B$14=$U$14),IF($V25,$B$14=$V$14),IF($W25,$B$14=$W$14),IF($X25,$B$14=$X$14)),TRUE))</f>
        <v>0</v>
      </c>
      <c r="L25" s="6">
        <v>0</v>
      </c>
      <c r="M25" s="6">
        <v>1</v>
      </c>
      <c r="N25" s="6">
        <v>0</v>
      </c>
      <c r="O25" s="6">
        <v>0</v>
      </c>
      <c r="P25" s="6" t="b">
        <f>IF($B$22=$Z$22,TRUE,FALSE)</f>
        <v>1</v>
      </c>
      <c r="Q25" s="6">
        <v>0</v>
      </c>
      <c r="R25" s="6">
        <v>0</v>
      </c>
      <c r="S25" s="6">
        <v>0</v>
      </c>
      <c r="T25" s="6" t="b">
        <f>IF($B$22=$Z$22,TRUE,FALSE)</f>
        <v>1</v>
      </c>
      <c r="U25" s="6">
        <v>0</v>
      </c>
      <c r="V25" s="6" t="b">
        <f>IF($B$22=$Z$22,TRUE,FALSE)</f>
        <v>1</v>
      </c>
      <c r="W25" s="6" t="b">
        <f>IF($B$22=$Z$22,TRUE,FALSE)</f>
        <v>1</v>
      </c>
      <c r="X25" s="6" t="b">
        <f>IF($B$22=$Z$22,TRUE,FALSE)</f>
        <v>1</v>
      </c>
    </row>
    <row r="26" spans="1:26" s="6" customFormat="1" ht="22.5" customHeight="1" x14ac:dyDescent="0.2">
      <c r="A26" s="56" t="s">
        <v>1357</v>
      </c>
      <c r="B26" s="109"/>
      <c r="C26" s="110"/>
      <c r="D26" s="110"/>
      <c r="E26" s="110"/>
      <c r="F26" s="110"/>
      <c r="G26" s="111"/>
      <c r="H26" s="9" t="s">
        <v>36</v>
      </c>
      <c r="I26" s="2"/>
      <c r="K26" s="6" t="b">
        <f>AND(OR(IF($L26,$B$11=$L$11),IF($M26,$B$11=$M$11),IF($N26,$B$11=$N$11),IF($O26,$B$11=$O$11),IF($P26,$B$11=$P$11),IF($Q25,$B$11=$Q$11)))</f>
        <v>0</v>
      </c>
      <c r="L26" s="6">
        <v>0</v>
      </c>
      <c r="M26" s="6">
        <v>0</v>
      </c>
      <c r="N26" s="6">
        <v>0</v>
      </c>
      <c r="O26" s="6">
        <v>0</v>
      </c>
      <c r="P26" s="6">
        <v>1</v>
      </c>
      <c r="Q26" s="6">
        <v>0</v>
      </c>
    </row>
    <row r="27" spans="1:26" s="6" customFormat="1" ht="22.5" customHeight="1" x14ac:dyDescent="0.2">
      <c r="A27" s="56" t="s">
        <v>1361</v>
      </c>
      <c r="B27" s="13" t="s">
        <v>1362</v>
      </c>
      <c r="C27" s="4">
        <v>5</v>
      </c>
      <c r="D27" s="14" t="s">
        <v>1363</v>
      </c>
      <c r="E27" s="4">
        <v>2</v>
      </c>
      <c r="F27" s="15" t="s">
        <v>1364</v>
      </c>
      <c r="G27" s="5">
        <v>1</v>
      </c>
      <c r="H27" s="9" t="s">
        <v>36</v>
      </c>
      <c r="I27" s="2"/>
      <c r="K27" s="6" t="b">
        <f>AND(OR(IF($L27,$B$11=$L$11),IF($M27,$B$11=$M$11),IF($N27,$B$11=$N$11),IF($O27,$B$11=$O$11),IF($P27,$B$11=$P$11),IF($Q26,$B$11=$Q$11)))</f>
        <v>0</v>
      </c>
      <c r="L27" s="6">
        <v>0</v>
      </c>
      <c r="M27" s="6">
        <v>0</v>
      </c>
      <c r="N27" s="6">
        <v>0</v>
      </c>
      <c r="O27" s="6">
        <v>0</v>
      </c>
      <c r="P27" s="6">
        <v>1</v>
      </c>
      <c r="Q27" s="6">
        <v>0</v>
      </c>
    </row>
    <row r="28" spans="1:26" s="6" customFormat="1" ht="22.5" customHeight="1" x14ac:dyDescent="0.2">
      <c r="A28" s="56" t="s">
        <v>1360</v>
      </c>
      <c r="B28" s="109" t="s">
        <v>485</v>
      </c>
      <c r="C28" s="110"/>
      <c r="D28" s="110"/>
      <c r="E28" s="110"/>
      <c r="F28" s="110"/>
      <c r="G28" s="111"/>
      <c r="H28" s="9" t="s">
        <v>36</v>
      </c>
      <c r="I28" s="2" t="s">
        <v>96</v>
      </c>
      <c r="K28" s="6" t="b">
        <f>AND(OR(IF($L28,$B$11=$L$11),IF($M28,$B$11=$M$11),IF($N28,$B$11=$N$11),IF($O28,$B$11=$O$11),IF($P28,$B$11=$P$11),IF($Q27,$B$11=$Q$11)))</f>
        <v>0</v>
      </c>
      <c r="L28" s="6">
        <v>0</v>
      </c>
      <c r="M28" s="6">
        <v>0</v>
      </c>
      <c r="N28" s="6">
        <v>0</v>
      </c>
      <c r="O28" s="6">
        <v>0</v>
      </c>
      <c r="P28" s="6">
        <v>1</v>
      </c>
      <c r="Q28" s="6">
        <v>1</v>
      </c>
    </row>
    <row r="29" spans="1:26" s="6" customFormat="1" ht="22.5" customHeight="1" x14ac:dyDescent="0.2">
      <c r="A29" s="56" t="s">
        <v>352</v>
      </c>
      <c r="B29" s="109">
        <v>10</v>
      </c>
      <c r="C29" s="110"/>
      <c r="D29" s="110"/>
      <c r="E29" s="110"/>
      <c r="F29" s="110"/>
      <c r="G29" s="111"/>
      <c r="H29" s="9" t="s">
        <v>36</v>
      </c>
      <c r="I29" s="2"/>
      <c r="K29" s="6" t="b">
        <f>AND(OR(IF($L29,$B$11=$L$11),IF($M29,$B$11=$M$11),IF($N29,$B$11=$N$11),IF($O29,$B$11=$O$11),IF($P29,$B$11=$P$11),IF($Q28,$B$11=$Q$11)))</f>
        <v>0</v>
      </c>
      <c r="L29" s="6">
        <v>0</v>
      </c>
      <c r="M29" s="6">
        <v>0</v>
      </c>
      <c r="N29" s="6">
        <v>0</v>
      </c>
      <c r="O29" s="6">
        <v>0</v>
      </c>
      <c r="Q29" s="6">
        <v>1</v>
      </c>
    </row>
    <row r="30" spans="1:26" s="6" customFormat="1" ht="22.5" customHeight="1" x14ac:dyDescent="0.2">
      <c r="A30" s="56" t="s">
        <v>353</v>
      </c>
      <c r="B30" s="109">
        <v>100</v>
      </c>
      <c r="C30" s="110"/>
      <c r="D30" s="110"/>
      <c r="E30" s="110"/>
      <c r="F30" s="110"/>
      <c r="G30" s="111"/>
      <c r="H30" s="9" t="s">
        <v>36</v>
      </c>
      <c r="I30" s="2"/>
      <c r="K30" s="6" t="b">
        <f>AND(OR(IF($L30,$B$11=$L$11),IF($M30,$B$11=$M$11),IF($N30,$B$11=$N$11),IF($O30,$B$11=$O$11),IF($P30,$B$11=$P$11),IF($Q29,$B$11=$Q$11)))</f>
        <v>0</v>
      </c>
      <c r="L30" s="6">
        <v>0</v>
      </c>
      <c r="M30" s="6">
        <v>0</v>
      </c>
      <c r="N30" s="6">
        <v>0</v>
      </c>
      <c r="O30" s="6">
        <v>0</v>
      </c>
      <c r="Q30" s="6">
        <v>1</v>
      </c>
    </row>
    <row r="31" spans="1:26" s="6" customFormat="1" ht="22.5" customHeight="1" x14ac:dyDescent="0.2">
      <c r="A31" s="56" t="s">
        <v>8</v>
      </c>
      <c r="B31" s="115"/>
      <c r="C31" s="116"/>
      <c r="D31" s="116"/>
      <c r="E31" s="116"/>
      <c r="F31" s="116"/>
      <c r="G31" s="117"/>
      <c r="H31" s="9" t="s">
        <v>36</v>
      </c>
      <c r="I31" s="2"/>
      <c r="K31" s="6" t="b">
        <f>AND(OR(IF($L31,$B$11=$L$11),IF($M31,$B$11=$M$11),IF($N31,$B$11=$N$11),IF($O31,$B$11=$O$11),IF($P31,$B$11=$P$11),IF($Q30,$B$11=$Q$11)),IF($K$14,OR(IF($R31,$B$14=$R$14),IF($S31,$B$14=$S$14),IF($T31,$B$14=$T$14),IF($U31,$B$14=$U$14),IF($V31,$B$14=$V$14),IF($W31,$B$14=$W$14),IF($X31,$B$14=$X$14)),TRUE))</f>
        <v>1</v>
      </c>
      <c r="L31" s="6">
        <v>1</v>
      </c>
      <c r="M31" s="6">
        <v>1</v>
      </c>
      <c r="N31" s="6">
        <v>1</v>
      </c>
      <c r="O31" s="6">
        <v>1</v>
      </c>
      <c r="Q31" s="6">
        <v>1</v>
      </c>
      <c r="R31" s="6">
        <v>1</v>
      </c>
      <c r="S31" s="6">
        <v>1</v>
      </c>
      <c r="T31" s="6">
        <v>1</v>
      </c>
      <c r="U31" s="6">
        <v>1</v>
      </c>
      <c r="V31" s="6">
        <v>1</v>
      </c>
      <c r="W31" s="6">
        <v>1</v>
      </c>
      <c r="X31" s="6">
        <v>1</v>
      </c>
    </row>
    <row r="32" spans="1:26" s="6" customFormat="1" ht="22.5" customHeight="1" x14ac:dyDescent="0.2">
      <c r="A32" s="56" t="s">
        <v>9</v>
      </c>
      <c r="B32" s="109"/>
      <c r="C32" s="110"/>
      <c r="D32" s="110"/>
      <c r="E32" s="110"/>
      <c r="F32" s="110"/>
      <c r="G32" s="111"/>
      <c r="H32" s="9" t="s">
        <v>36</v>
      </c>
      <c r="I32" s="2"/>
      <c r="K32" s="6" t="b">
        <f>AND(OR(IF($L32,$B$11=$L$11),IF($M32,$B$11=$M$11),IF($N32,$B$11=$N$11),IF($O32,$B$11=$O$11),IF($P32,$B$11=$P$11),IF($Q31,$B$11=$Q$11)),IF($K$14,OR(IF($R32,$B$14=$R$14),IF($S32,$B$14=$S$14),IF($T32,$B$14=$T$14),IF($U32,$B$14=$U$14),IF($V32,$B$14=$V$14),IF($W32,$B$14=$W$14),IF($X32,$B$14=$X$14)),TRUE))</f>
        <v>1</v>
      </c>
      <c r="L32" s="6">
        <v>1</v>
      </c>
      <c r="M32" s="6">
        <v>1</v>
      </c>
      <c r="N32" s="6">
        <v>1</v>
      </c>
      <c r="O32" s="6">
        <v>0</v>
      </c>
      <c r="R32" s="6">
        <v>1</v>
      </c>
      <c r="S32" s="6">
        <v>1</v>
      </c>
      <c r="T32" s="6">
        <v>1</v>
      </c>
      <c r="U32" s="6">
        <v>1</v>
      </c>
      <c r="V32" s="6">
        <v>1</v>
      </c>
      <c r="W32" s="6">
        <v>1</v>
      </c>
      <c r="X32" s="6">
        <v>1</v>
      </c>
    </row>
    <row r="33" spans="1:19" s="6" customFormat="1" ht="45" customHeight="1" x14ac:dyDescent="0.2">
      <c r="A33" s="56" t="s">
        <v>354</v>
      </c>
      <c r="B33" s="109" t="s">
        <v>1377</v>
      </c>
      <c r="C33" s="110"/>
      <c r="D33" s="110"/>
      <c r="E33" s="110"/>
      <c r="F33" s="110"/>
      <c r="G33" s="111"/>
      <c r="H33" s="9" t="s">
        <v>36</v>
      </c>
      <c r="I33" s="27" t="s">
        <v>1638</v>
      </c>
      <c r="K33" s="6" t="b">
        <f>IF(AND($B$11=$M$11,$B$32&lt;=30000,$B$32&lt;&gt;""),TRUE,FALSE)</f>
        <v>0</v>
      </c>
      <c r="Q33" s="6">
        <v>0</v>
      </c>
      <c r="R33" s="6" t="s">
        <v>1377</v>
      </c>
      <c r="S33" s="6" t="s">
        <v>1378</v>
      </c>
    </row>
    <row r="34" spans="1:19" s="6" customFormat="1" ht="22.5" customHeight="1" x14ac:dyDescent="0.2">
      <c r="A34" s="56" t="s">
        <v>25</v>
      </c>
      <c r="B34" s="109" t="s">
        <v>1826</v>
      </c>
      <c r="C34" s="110"/>
      <c r="D34" s="110"/>
      <c r="E34" s="110"/>
      <c r="F34" s="110"/>
      <c r="G34" s="111"/>
      <c r="H34" s="9" t="s">
        <v>36</v>
      </c>
      <c r="I34" s="2"/>
      <c r="K34" s="6" t="b">
        <f>AND(OR(IF($L34,$B$11=$L$11),IF($M34,$B$11=$M$11),IF($N34,$B$11=$N$11),IF($O34,$B$11=$O$11),IF($P34,$B$11=$P$11),IF($Q33,$B$11=$Q$11)),IF($K$33,IF($B$33=$R$33,TRUE,FALSE),TRUE))</f>
        <v>0</v>
      </c>
      <c r="L34" s="6">
        <v>0</v>
      </c>
      <c r="M34" s="6">
        <v>1</v>
      </c>
      <c r="N34" s="6">
        <v>0</v>
      </c>
      <c r="O34" s="6">
        <v>0</v>
      </c>
      <c r="R34" s="6">
        <v>1</v>
      </c>
      <c r="S34" s="6">
        <v>0</v>
      </c>
    </row>
    <row r="35" spans="1:19" s="6" customFormat="1" ht="22.5" customHeight="1" thickBot="1" x14ac:dyDescent="0.25">
      <c r="A35" s="57" t="s">
        <v>349</v>
      </c>
      <c r="B35" s="106"/>
      <c r="C35" s="107"/>
      <c r="D35" s="107"/>
      <c r="E35" s="107"/>
      <c r="F35" s="107"/>
      <c r="G35" s="108"/>
      <c r="H35" s="18" t="s">
        <v>36</v>
      </c>
      <c r="I35" s="17"/>
      <c r="K35" s="6" t="b">
        <f>IF(AND($K$33,B33=$S$33),TRUE,FALSE)</f>
        <v>0</v>
      </c>
      <c r="Q35" s="11"/>
    </row>
    <row r="36" spans="1:19" s="11" customFormat="1" ht="37.5" customHeight="1" thickTop="1" x14ac:dyDescent="0.3">
      <c r="A36" s="29" t="s">
        <v>38</v>
      </c>
      <c r="B36" s="30"/>
      <c r="C36" s="30"/>
      <c r="D36" s="30"/>
      <c r="E36" s="30"/>
      <c r="F36" s="30"/>
      <c r="G36" s="30"/>
      <c r="H36" s="30"/>
      <c r="I36" s="31"/>
      <c r="K36" s="11">
        <v>1</v>
      </c>
      <c r="Q36" s="6"/>
    </row>
    <row r="37" spans="1:19" s="6" customFormat="1" ht="22.5" customHeight="1" x14ac:dyDescent="0.2">
      <c r="A37" s="71" t="s">
        <v>0</v>
      </c>
      <c r="B37" s="112" t="s">
        <v>1</v>
      </c>
      <c r="C37" s="113"/>
      <c r="D37" s="113"/>
      <c r="E37" s="113"/>
      <c r="F37" s="113"/>
      <c r="G37" s="114"/>
      <c r="H37" s="71" t="s">
        <v>35</v>
      </c>
      <c r="I37" s="71" t="s">
        <v>30</v>
      </c>
      <c r="K37" s="6">
        <v>1</v>
      </c>
      <c r="Q37" s="12"/>
    </row>
    <row r="38" spans="1:19" s="12" customFormat="1" ht="22.5" customHeight="1" x14ac:dyDescent="0.2">
      <c r="A38" s="56" t="s">
        <v>1833</v>
      </c>
      <c r="B38" s="109">
        <v>5</v>
      </c>
      <c r="C38" s="110"/>
      <c r="D38" s="110"/>
      <c r="E38" s="110"/>
      <c r="F38" s="110"/>
      <c r="G38" s="111"/>
      <c r="H38" s="9" t="s">
        <v>36</v>
      </c>
      <c r="I38" s="2" t="s">
        <v>1834</v>
      </c>
      <c r="J38" s="6"/>
      <c r="K38" s="6">
        <v>1</v>
      </c>
    </row>
    <row r="39" spans="1:19" s="12" customFormat="1" ht="22.5" customHeight="1" x14ac:dyDescent="0.2">
      <c r="A39" s="56" t="s">
        <v>1835</v>
      </c>
      <c r="B39" s="109">
        <v>5</v>
      </c>
      <c r="C39" s="110"/>
      <c r="D39" s="110"/>
      <c r="E39" s="110"/>
      <c r="F39" s="110"/>
      <c r="G39" s="111"/>
      <c r="H39" s="9" t="s">
        <v>36</v>
      </c>
      <c r="I39" s="2" t="s">
        <v>1876</v>
      </c>
      <c r="J39" s="6"/>
      <c r="K39" s="6">
        <v>1</v>
      </c>
    </row>
    <row r="40" spans="1:19" s="12" customFormat="1" ht="22.5" customHeight="1" x14ac:dyDescent="0.2">
      <c r="A40" s="56" t="s">
        <v>31</v>
      </c>
      <c r="B40" s="109" t="s">
        <v>32</v>
      </c>
      <c r="C40" s="110"/>
      <c r="D40" s="110"/>
      <c r="E40" s="110"/>
      <c r="F40" s="110"/>
      <c r="G40" s="111"/>
      <c r="H40" s="9" t="s">
        <v>36</v>
      </c>
      <c r="I40" s="2"/>
      <c r="K40" s="12">
        <v>1</v>
      </c>
      <c r="L40" s="6" t="s">
        <v>1823</v>
      </c>
      <c r="M40" s="6" t="s">
        <v>32</v>
      </c>
    </row>
    <row r="41" spans="1:19" s="12" customFormat="1" ht="22.5" customHeight="1" x14ac:dyDescent="0.2">
      <c r="A41" s="56" t="s">
        <v>33</v>
      </c>
      <c r="B41" s="109">
        <v>1</v>
      </c>
      <c r="C41" s="110"/>
      <c r="D41" s="110"/>
      <c r="E41" s="110"/>
      <c r="F41" s="110"/>
      <c r="G41" s="111"/>
      <c r="H41" s="9" t="s">
        <v>36</v>
      </c>
      <c r="I41" s="83" t="s">
        <v>34</v>
      </c>
      <c r="J41" s="6"/>
      <c r="K41" s="6" t="b">
        <f>AND(OR(IF($L41,$B$40=$L$40),IF($M41,$B$40=$M$40)))</f>
        <v>0</v>
      </c>
      <c r="L41" s="12">
        <v>1</v>
      </c>
      <c r="M41" s="12">
        <v>0</v>
      </c>
    </row>
    <row r="42" spans="1:19" s="12" customFormat="1" ht="22.5" customHeight="1" x14ac:dyDescent="0.2">
      <c r="A42" s="56" t="s">
        <v>39</v>
      </c>
      <c r="B42" s="109" t="s">
        <v>1646</v>
      </c>
      <c r="C42" s="110"/>
      <c r="D42" s="110"/>
      <c r="E42" s="110"/>
      <c r="F42" s="110"/>
      <c r="G42" s="111"/>
      <c r="H42" s="9" t="s">
        <v>36</v>
      </c>
      <c r="I42" s="2"/>
      <c r="J42" s="6"/>
      <c r="K42" s="6" t="b">
        <f>AND(OR(IF($L42,$B$40=$L$40),IF($M42,$B$40=$M$40)))</f>
        <v>0</v>
      </c>
      <c r="L42" s="12">
        <v>1</v>
      </c>
      <c r="M42" s="12">
        <v>0</v>
      </c>
    </row>
    <row r="43" spans="1:19" s="12" customFormat="1" ht="22.5" customHeight="1" x14ac:dyDescent="0.2">
      <c r="A43" s="56" t="s">
        <v>42</v>
      </c>
      <c r="B43" s="109" t="s">
        <v>43</v>
      </c>
      <c r="C43" s="110"/>
      <c r="D43" s="110"/>
      <c r="E43" s="110"/>
      <c r="F43" s="110"/>
      <c r="G43" s="111"/>
      <c r="H43" s="9" t="s">
        <v>36</v>
      </c>
      <c r="I43" s="2"/>
      <c r="K43" s="12">
        <v>1</v>
      </c>
    </row>
    <row r="44" spans="1:19" s="12" customFormat="1" ht="22.5" customHeight="1" x14ac:dyDescent="0.2">
      <c r="A44" s="2" t="s">
        <v>40</v>
      </c>
      <c r="B44" s="109" t="s">
        <v>41</v>
      </c>
      <c r="C44" s="110"/>
      <c r="D44" s="110"/>
      <c r="E44" s="110"/>
      <c r="F44" s="110"/>
      <c r="G44" s="111"/>
      <c r="H44" s="9" t="s">
        <v>36</v>
      </c>
      <c r="I44" s="2"/>
      <c r="K44" s="12">
        <v>1</v>
      </c>
      <c r="L44" s="12" t="s">
        <v>36</v>
      </c>
      <c r="M44" s="12" t="s">
        <v>41</v>
      </c>
    </row>
    <row r="45" spans="1:19" s="12" customFormat="1" ht="22.5" customHeight="1" x14ac:dyDescent="0.2">
      <c r="A45" s="2" t="s">
        <v>355</v>
      </c>
      <c r="B45" s="109"/>
      <c r="C45" s="110"/>
      <c r="D45" s="110"/>
      <c r="E45" s="110"/>
      <c r="F45" s="110"/>
      <c r="G45" s="111"/>
      <c r="H45" s="9" t="s">
        <v>36</v>
      </c>
      <c r="I45" s="2"/>
      <c r="J45" s="6"/>
      <c r="K45" s="6" t="b">
        <f t="shared" ref="K45:K50" si="0">AND(OR(IF($L45,$B$44=$L$44),IF($M45,$B$44=$M$44)))</f>
        <v>0</v>
      </c>
      <c r="L45" s="12">
        <v>1</v>
      </c>
      <c r="M45" s="12">
        <v>0</v>
      </c>
    </row>
    <row r="46" spans="1:19" s="12" customFormat="1" ht="22.5" customHeight="1" x14ac:dyDescent="0.2">
      <c r="A46" s="2" t="s">
        <v>1365</v>
      </c>
      <c r="B46" s="109"/>
      <c r="C46" s="110"/>
      <c r="D46" s="110"/>
      <c r="E46" s="110"/>
      <c r="F46" s="110"/>
      <c r="G46" s="111"/>
      <c r="H46" s="9" t="s">
        <v>36</v>
      </c>
      <c r="I46" s="2"/>
      <c r="J46" s="6"/>
      <c r="K46" s="6" t="b">
        <f t="shared" si="0"/>
        <v>0</v>
      </c>
      <c r="L46" s="12">
        <v>1</v>
      </c>
      <c r="M46" s="12">
        <v>0</v>
      </c>
    </row>
    <row r="47" spans="1:19" s="12" customFormat="1" ht="22.5" customHeight="1" x14ac:dyDescent="0.2">
      <c r="A47" s="2" t="s">
        <v>1366</v>
      </c>
      <c r="B47" s="109"/>
      <c r="C47" s="110"/>
      <c r="D47" s="110"/>
      <c r="E47" s="110"/>
      <c r="F47" s="110"/>
      <c r="G47" s="111"/>
      <c r="H47" s="9" t="s">
        <v>36</v>
      </c>
      <c r="I47" s="2"/>
      <c r="J47" s="6"/>
      <c r="K47" s="6" t="b">
        <f t="shared" si="0"/>
        <v>0</v>
      </c>
      <c r="L47" s="12">
        <v>1</v>
      </c>
      <c r="M47" s="12">
        <v>0</v>
      </c>
    </row>
    <row r="48" spans="1:19" s="12" customFormat="1" ht="22.5" customHeight="1" x14ac:dyDescent="0.2">
      <c r="A48" s="2" t="s">
        <v>1367</v>
      </c>
      <c r="B48" s="109"/>
      <c r="C48" s="110"/>
      <c r="D48" s="110"/>
      <c r="E48" s="110"/>
      <c r="F48" s="110"/>
      <c r="G48" s="111"/>
      <c r="H48" s="9" t="s">
        <v>36</v>
      </c>
      <c r="I48" s="2"/>
      <c r="J48" s="6"/>
      <c r="K48" s="6" t="b">
        <f t="shared" si="0"/>
        <v>0</v>
      </c>
      <c r="L48" s="12">
        <v>1</v>
      </c>
      <c r="M48" s="12">
        <v>0</v>
      </c>
    </row>
    <row r="49" spans="1:13" s="12" customFormat="1" ht="22.5" customHeight="1" x14ac:dyDescent="0.2">
      <c r="A49" s="2" t="s">
        <v>1368</v>
      </c>
      <c r="B49" s="13" t="s">
        <v>45</v>
      </c>
      <c r="C49" s="4"/>
      <c r="D49" s="14" t="s">
        <v>46</v>
      </c>
      <c r="E49" s="4"/>
      <c r="F49" s="15" t="s">
        <v>47</v>
      </c>
      <c r="G49" s="5"/>
      <c r="H49" s="9" t="s">
        <v>36</v>
      </c>
      <c r="I49" s="2" t="s">
        <v>48</v>
      </c>
      <c r="J49" s="63" t="str">
        <f>C49&amp;"/"&amp;E49&amp;"/"&amp;G49</f>
        <v>//</v>
      </c>
      <c r="K49" s="6" t="b">
        <f t="shared" si="0"/>
        <v>0</v>
      </c>
      <c r="L49" s="12">
        <v>1</v>
      </c>
      <c r="M49" s="12">
        <v>0</v>
      </c>
    </row>
    <row r="50" spans="1:13" s="12" customFormat="1" ht="22.5" customHeight="1" x14ac:dyDescent="0.2">
      <c r="A50" s="2" t="s">
        <v>1369</v>
      </c>
      <c r="B50" s="13" t="s">
        <v>53</v>
      </c>
      <c r="C50" s="4"/>
      <c r="D50" s="14" t="s">
        <v>54</v>
      </c>
      <c r="E50" s="64"/>
      <c r="F50" s="16" t="s">
        <v>55</v>
      </c>
      <c r="G50" s="5"/>
      <c r="H50" s="9" t="s">
        <v>36</v>
      </c>
      <c r="I50" s="2"/>
      <c r="J50" s="63" t="str">
        <f>E50&amp;":"&amp;C50&amp;" "&amp;G50</f>
        <v xml:space="preserve">: </v>
      </c>
      <c r="K50" s="6" t="b">
        <f t="shared" si="0"/>
        <v>0</v>
      </c>
      <c r="L50" s="12">
        <v>1</v>
      </c>
      <c r="M50" s="12">
        <v>0</v>
      </c>
    </row>
    <row r="51" spans="1:13" s="12" customFormat="1" ht="22.5" customHeight="1" x14ac:dyDescent="0.2">
      <c r="A51" s="56" t="s">
        <v>1830</v>
      </c>
      <c r="B51" s="109" t="s">
        <v>43</v>
      </c>
      <c r="C51" s="110"/>
      <c r="D51" s="110"/>
      <c r="E51" s="110"/>
      <c r="F51" s="110"/>
      <c r="G51" s="111"/>
      <c r="H51" s="9" t="s">
        <v>36</v>
      </c>
      <c r="I51" s="2"/>
      <c r="K51" s="12">
        <v>1</v>
      </c>
    </row>
    <row r="52" spans="1:13" s="12" customFormat="1" ht="22.5" customHeight="1" x14ac:dyDescent="0.2">
      <c r="A52" s="56" t="s">
        <v>1365</v>
      </c>
      <c r="B52" s="109" t="s">
        <v>43</v>
      </c>
      <c r="C52" s="110"/>
      <c r="D52" s="110"/>
      <c r="E52" s="110"/>
      <c r="F52" s="110"/>
      <c r="G52" s="111"/>
      <c r="H52" s="9" t="s">
        <v>36</v>
      </c>
      <c r="I52" s="2"/>
      <c r="K52" s="12">
        <v>1</v>
      </c>
    </row>
    <row r="53" spans="1:13" s="12" customFormat="1" ht="22.5" customHeight="1" x14ac:dyDescent="0.2">
      <c r="A53" s="56" t="s">
        <v>1366</v>
      </c>
      <c r="B53" s="109">
        <v>0</v>
      </c>
      <c r="C53" s="110"/>
      <c r="D53" s="110"/>
      <c r="E53" s="110"/>
      <c r="F53" s="110"/>
      <c r="G53" s="111"/>
      <c r="H53" s="9" t="s">
        <v>36</v>
      </c>
      <c r="I53" s="2"/>
      <c r="K53" s="12">
        <v>1</v>
      </c>
    </row>
    <row r="54" spans="1:13" s="12" customFormat="1" ht="22.5" customHeight="1" x14ac:dyDescent="0.2">
      <c r="A54" s="81" t="s">
        <v>1367</v>
      </c>
      <c r="B54" s="109" t="s">
        <v>1877</v>
      </c>
      <c r="C54" s="110"/>
      <c r="D54" s="110"/>
      <c r="E54" s="110"/>
      <c r="F54" s="110"/>
      <c r="G54" s="111"/>
      <c r="H54" s="9" t="s">
        <v>36</v>
      </c>
      <c r="I54" s="2"/>
      <c r="J54" s="6"/>
      <c r="K54" s="6">
        <v>1</v>
      </c>
    </row>
    <row r="55" spans="1:13" s="12" customFormat="1" ht="22.5" customHeight="1" x14ac:dyDescent="0.2">
      <c r="A55" s="56" t="s">
        <v>1859</v>
      </c>
      <c r="B55" s="13" t="s">
        <v>45</v>
      </c>
      <c r="C55" s="64"/>
      <c r="D55" s="14" t="s">
        <v>46</v>
      </c>
      <c r="E55" s="4"/>
      <c r="F55" s="15" t="s">
        <v>47</v>
      </c>
      <c r="G55" s="65"/>
      <c r="H55" s="9" t="s">
        <v>36</v>
      </c>
      <c r="I55" s="2" t="s">
        <v>48</v>
      </c>
      <c r="J55" s="63" t="str">
        <f t="shared" ref="J55" si="1">C55&amp;"/"&amp;E55&amp;"/"&amp;G55</f>
        <v>//</v>
      </c>
      <c r="K55" s="12">
        <v>1</v>
      </c>
    </row>
    <row r="56" spans="1:13" s="12" customFormat="1" ht="22.5" customHeight="1" x14ac:dyDescent="0.2">
      <c r="A56" s="56" t="s">
        <v>1860</v>
      </c>
      <c r="B56" s="13" t="s">
        <v>53</v>
      </c>
      <c r="C56" s="4"/>
      <c r="D56" s="14" t="s">
        <v>54</v>
      </c>
      <c r="E56" s="4"/>
      <c r="F56" s="16" t="s">
        <v>55</v>
      </c>
      <c r="G56" s="5"/>
      <c r="H56" s="9" t="s">
        <v>36</v>
      </c>
      <c r="I56" s="2"/>
      <c r="J56" s="63" t="str">
        <f>E56&amp;":"&amp;C56&amp;" "&amp;G56</f>
        <v xml:space="preserve">: </v>
      </c>
      <c r="K56" s="12">
        <v>1</v>
      </c>
    </row>
    <row r="57" spans="1:13" s="12" customFormat="1" ht="22.5" customHeight="1" x14ac:dyDescent="0.2">
      <c r="A57" s="56" t="s">
        <v>44</v>
      </c>
      <c r="B57" s="13" t="s">
        <v>45</v>
      </c>
      <c r="C57" s="4"/>
      <c r="D57" s="14" t="s">
        <v>46</v>
      </c>
      <c r="E57" s="64"/>
      <c r="F57" s="15" t="s">
        <v>47</v>
      </c>
      <c r="G57" s="65"/>
      <c r="H57" s="9" t="s">
        <v>36</v>
      </c>
      <c r="I57" s="2" t="s">
        <v>48</v>
      </c>
      <c r="J57" s="63" t="str">
        <f>C57&amp;"/"&amp;E57&amp;"/"&amp;G57</f>
        <v>//</v>
      </c>
      <c r="K57" s="12">
        <v>1</v>
      </c>
    </row>
    <row r="58" spans="1:13" s="12" customFormat="1" ht="22.5" customHeight="1" x14ac:dyDescent="0.2">
      <c r="A58" s="56" t="s">
        <v>49</v>
      </c>
      <c r="B58" s="13" t="s">
        <v>45</v>
      </c>
      <c r="C58" s="64"/>
      <c r="D58" s="14" t="s">
        <v>46</v>
      </c>
      <c r="E58" s="64"/>
      <c r="F58" s="15" t="s">
        <v>47</v>
      </c>
      <c r="G58" s="65"/>
      <c r="H58" s="9" t="s">
        <v>36</v>
      </c>
      <c r="I58" s="2" t="s">
        <v>48</v>
      </c>
      <c r="J58" s="63" t="str">
        <f t="shared" ref="J58:J62" si="2">C58&amp;"/"&amp;E58&amp;"/"&amp;G58</f>
        <v>//</v>
      </c>
      <c r="K58" s="12">
        <v>1</v>
      </c>
    </row>
    <row r="59" spans="1:13" s="12" customFormat="1" ht="22.5" customHeight="1" x14ac:dyDescent="0.2">
      <c r="A59" s="56" t="s">
        <v>50</v>
      </c>
      <c r="B59" s="13" t="s">
        <v>53</v>
      </c>
      <c r="C59" s="4"/>
      <c r="D59" s="14" t="s">
        <v>54</v>
      </c>
      <c r="E59" s="4"/>
      <c r="F59" s="16" t="s">
        <v>55</v>
      </c>
      <c r="G59" s="5"/>
      <c r="H59" s="9" t="s">
        <v>36</v>
      </c>
      <c r="I59" s="2"/>
      <c r="J59" s="63" t="str">
        <f>E59&amp;":"&amp;C59&amp;" "&amp;G59</f>
        <v xml:space="preserve">: </v>
      </c>
      <c r="K59" s="12">
        <v>1</v>
      </c>
    </row>
    <row r="60" spans="1:13" s="12" customFormat="1" ht="22.5" customHeight="1" x14ac:dyDescent="0.2">
      <c r="A60" s="56" t="s">
        <v>51</v>
      </c>
      <c r="B60" s="13" t="s">
        <v>45</v>
      </c>
      <c r="C60" s="64"/>
      <c r="D60" s="14" t="s">
        <v>46</v>
      </c>
      <c r="E60" s="4"/>
      <c r="F60" s="15" t="s">
        <v>47</v>
      </c>
      <c r="G60" s="65"/>
      <c r="H60" s="9" t="s">
        <v>36</v>
      </c>
      <c r="I60" s="2" t="s">
        <v>48</v>
      </c>
      <c r="J60" s="63" t="str">
        <f t="shared" si="2"/>
        <v>//</v>
      </c>
      <c r="K60" s="12">
        <v>1</v>
      </c>
    </row>
    <row r="61" spans="1:13" s="12" customFormat="1" ht="22.5" customHeight="1" x14ac:dyDescent="0.2">
      <c r="A61" s="56" t="s">
        <v>52</v>
      </c>
      <c r="B61" s="13" t="s">
        <v>53</v>
      </c>
      <c r="C61" s="64"/>
      <c r="D61" s="14" t="s">
        <v>54</v>
      </c>
      <c r="E61" s="4"/>
      <c r="F61" s="15" t="s">
        <v>55</v>
      </c>
      <c r="G61" s="65"/>
      <c r="H61" s="9" t="s">
        <v>36</v>
      </c>
      <c r="I61" s="2"/>
      <c r="J61" s="63" t="str">
        <f>E61&amp;":"&amp;C61&amp;" "&amp;G61</f>
        <v xml:space="preserve">: </v>
      </c>
      <c r="K61" s="12">
        <v>1</v>
      </c>
    </row>
    <row r="62" spans="1:13" s="12" customFormat="1" ht="22.5" customHeight="1" x14ac:dyDescent="0.2">
      <c r="A62" s="56" t="s">
        <v>1827</v>
      </c>
      <c r="B62" s="13" t="s">
        <v>45</v>
      </c>
      <c r="C62" s="64"/>
      <c r="D62" s="14" t="s">
        <v>46</v>
      </c>
      <c r="E62" s="4"/>
      <c r="F62" s="15" t="s">
        <v>47</v>
      </c>
      <c r="G62" s="65"/>
      <c r="H62" s="9" t="s">
        <v>36</v>
      </c>
      <c r="I62" s="2" t="s">
        <v>48</v>
      </c>
      <c r="J62" s="63" t="str">
        <f t="shared" si="2"/>
        <v>//</v>
      </c>
      <c r="K62" s="12">
        <v>1</v>
      </c>
    </row>
    <row r="63" spans="1:13" s="12" customFormat="1" ht="22.5" customHeight="1" x14ac:dyDescent="0.2">
      <c r="A63" s="56" t="s">
        <v>1828</v>
      </c>
      <c r="B63" s="13" t="s">
        <v>53</v>
      </c>
      <c r="C63" s="64"/>
      <c r="D63" s="14" t="s">
        <v>54</v>
      </c>
      <c r="E63" s="4"/>
      <c r="F63" s="15" t="s">
        <v>55</v>
      </c>
      <c r="G63" s="65"/>
      <c r="H63" s="9" t="s">
        <v>36</v>
      </c>
      <c r="I63" s="2"/>
      <c r="J63" s="63" t="str">
        <f>E63&amp;":"&amp;C63&amp;" "&amp;G63</f>
        <v xml:space="preserve">: </v>
      </c>
      <c r="K63" s="12">
        <v>1</v>
      </c>
    </row>
    <row r="64" spans="1:13" s="12" customFormat="1" ht="22.5" customHeight="1" x14ac:dyDescent="0.2">
      <c r="A64" s="56" t="s">
        <v>1831</v>
      </c>
      <c r="B64" s="13" t="s">
        <v>45</v>
      </c>
      <c r="C64" s="64"/>
      <c r="D64" s="14" t="s">
        <v>46</v>
      </c>
      <c r="E64" s="4"/>
      <c r="F64" s="15" t="s">
        <v>47</v>
      </c>
      <c r="G64" s="65"/>
      <c r="H64" s="9" t="s">
        <v>36</v>
      </c>
      <c r="I64" s="2" t="s">
        <v>48</v>
      </c>
      <c r="J64" s="63" t="str">
        <f t="shared" ref="J64:J65" si="3">C64&amp;"/"&amp;E64&amp;"/"&amp;G64</f>
        <v>//</v>
      </c>
      <c r="K64" s="12">
        <v>1</v>
      </c>
    </row>
    <row r="65" spans="1:17" s="12" customFormat="1" ht="22.5" customHeight="1" thickBot="1" x14ac:dyDescent="0.25">
      <c r="A65" s="56" t="s">
        <v>1832</v>
      </c>
      <c r="B65" s="13" t="s">
        <v>45</v>
      </c>
      <c r="C65" s="64"/>
      <c r="D65" s="14" t="s">
        <v>46</v>
      </c>
      <c r="E65" s="4"/>
      <c r="F65" s="15" t="s">
        <v>47</v>
      </c>
      <c r="G65" s="65"/>
      <c r="H65" s="9" t="s">
        <v>36</v>
      </c>
      <c r="I65" s="2" t="s">
        <v>48</v>
      </c>
      <c r="J65" s="63" t="str">
        <f t="shared" si="3"/>
        <v>//</v>
      </c>
      <c r="K65" s="12">
        <v>1</v>
      </c>
    </row>
    <row r="66" spans="1:17" s="11" customFormat="1" ht="37.5" customHeight="1" thickTop="1" x14ac:dyDescent="0.3">
      <c r="A66" s="29" t="s">
        <v>58</v>
      </c>
      <c r="B66" s="30"/>
      <c r="C66" s="30"/>
      <c r="D66" s="30"/>
      <c r="E66" s="30"/>
      <c r="F66" s="30"/>
      <c r="G66" s="30"/>
      <c r="H66" s="30"/>
      <c r="I66" s="31"/>
      <c r="K66" s="11">
        <v>1</v>
      </c>
      <c r="Q66" s="6"/>
    </row>
    <row r="67" spans="1:17" s="6" customFormat="1" ht="22.5" customHeight="1" x14ac:dyDescent="0.2">
      <c r="A67" s="7" t="s">
        <v>0</v>
      </c>
      <c r="B67" s="112" t="s">
        <v>1</v>
      </c>
      <c r="C67" s="113"/>
      <c r="D67" s="113"/>
      <c r="E67" s="113"/>
      <c r="F67" s="113"/>
      <c r="G67" s="114"/>
      <c r="H67" s="7" t="s">
        <v>35</v>
      </c>
      <c r="I67" s="7" t="s">
        <v>30</v>
      </c>
      <c r="K67" s="6">
        <v>1</v>
      </c>
    </row>
    <row r="68" spans="1:17" s="6" customFormat="1" ht="22.5" customHeight="1" x14ac:dyDescent="0.2">
      <c r="A68" s="1" t="s">
        <v>59</v>
      </c>
      <c r="B68" s="115" t="s">
        <v>60</v>
      </c>
      <c r="C68" s="116"/>
      <c r="D68" s="116"/>
      <c r="E68" s="116"/>
      <c r="F68" s="116"/>
      <c r="G68" s="117"/>
      <c r="H68" s="8" t="s">
        <v>36</v>
      </c>
      <c r="I68" s="1"/>
      <c r="J68" s="12"/>
      <c r="K68" s="12">
        <v>1</v>
      </c>
      <c r="L68" s="6" t="s">
        <v>60</v>
      </c>
      <c r="M68" s="6" t="s">
        <v>61</v>
      </c>
    </row>
    <row r="69" spans="1:17" s="6" customFormat="1" ht="22.5" customHeight="1" x14ac:dyDescent="0.2">
      <c r="A69" s="2" t="s">
        <v>62</v>
      </c>
      <c r="B69" s="109" t="s">
        <v>63</v>
      </c>
      <c r="C69" s="110"/>
      <c r="D69" s="110"/>
      <c r="E69" s="110"/>
      <c r="F69" s="110"/>
      <c r="G69" s="111"/>
      <c r="H69" s="9" t="s">
        <v>36</v>
      </c>
      <c r="I69" s="2" t="s">
        <v>96</v>
      </c>
      <c r="K69" s="6" t="b">
        <f>IF($B$68=$L$68,TRUE,FALSE)</f>
        <v>1</v>
      </c>
      <c r="L69" s="6">
        <v>1</v>
      </c>
      <c r="M69" s="6">
        <v>0</v>
      </c>
    </row>
    <row r="70" spans="1:17" s="6" customFormat="1" ht="22.5" customHeight="1" x14ac:dyDescent="0.2">
      <c r="A70" s="2" t="s">
        <v>1385</v>
      </c>
      <c r="B70" s="109"/>
      <c r="C70" s="110"/>
      <c r="D70" s="110"/>
      <c r="E70" s="110"/>
      <c r="F70" s="110"/>
      <c r="G70" s="111"/>
      <c r="H70" s="9" t="s">
        <v>36</v>
      </c>
      <c r="I70" s="2" t="s">
        <v>96</v>
      </c>
      <c r="K70" s="6" t="b">
        <f>IF($B$68=$M$68,TRUE,FALSE)</f>
        <v>0</v>
      </c>
      <c r="L70" s="6">
        <v>0</v>
      </c>
      <c r="M70" s="6">
        <v>1</v>
      </c>
    </row>
    <row r="71" spans="1:17" s="6" customFormat="1" ht="22.5" customHeight="1" x14ac:dyDescent="0.2">
      <c r="A71" s="2" t="s">
        <v>69</v>
      </c>
      <c r="B71" s="109"/>
      <c r="C71" s="110"/>
      <c r="D71" s="110"/>
      <c r="E71" s="110"/>
      <c r="F71" s="110"/>
      <c r="G71" s="111"/>
      <c r="H71" s="9"/>
      <c r="I71" s="2"/>
      <c r="K71" s="6">
        <v>1</v>
      </c>
    </row>
    <row r="72" spans="1:17" s="6" customFormat="1" ht="22.5" customHeight="1" x14ac:dyDescent="0.2">
      <c r="A72" s="2" t="s">
        <v>70</v>
      </c>
      <c r="B72" s="109"/>
      <c r="C72" s="110"/>
      <c r="D72" s="110"/>
      <c r="E72" s="110"/>
      <c r="F72" s="110"/>
      <c r="G72" s="111"/>
      <c r="H72" s="9"/>
      <c r="I72" s="2" t="s">
        <v>96</v>
      </c>
      <c r="K72" s="6">
        <v>1</v>
      </c>
    </row>
    <row r="73" spans="1:17" s="6" customFormat="1" ht="22.5" customHeight="1" x14ac:dyDescent="0.2">
      <c r="A73" s="2" t="s">
        <v>71</v>
      </c>
      <c r="B73" s="109"/>
      <c r="C73" s="110"/>
      <c r="D73" s="110"/>
      <c r="E73" s="110"/>
      <c r="F73" s="110"/>
      <c r="G73" s="111"/>
      <c r="H73" s="9"/>
      <c r="I73" s="2" t="s">
        <v>96</v>
      </c>
      <c r="K73" s="6">
        <v>1</v>
      </c>
    </row>
    <row r="74" spans="1:17" s="6" customFormat="1" ht="22.5" customHeight="1" x14ac:dyDescent="0.2">
      <c r="A74" s="2" t="s">
        <v>72</v>
      </c>
      <c r="B74" s="109"/>
      <c r="C74" s="110"/>
      <c r="D74" s="110"/>
      <c r="E74" s="110"/>
      <c r="F74" s="110"/>
      <c r="G74" s="111"/>
      <c r="H74" s="9" t="s">
        <v>36</v>
      </c>
      <c r="I74" s="2" t="s">
        <v>96</v>
      </c>
      <c r="K74" s="6">
        <v>1</v>
      </c>
    </row>
    <row r="75" spans="1:17" s="6" customFormat="1" ht="22.5" customHeight="1" x14ac:dyDescent="0.2">
      <c r="A75" s="3" t="s">
        <v>1632</v>
      </c>
      <c r="B75" s="109" t="s">
        <v>1871</v>
      </c>
      <c r="C75" s="110"/>
      <c r="D75" s="110"/>
      <c r="E75" s="110"/>
      <c r="F75" s="110"/>
      <c r="G75" s="111"/>
      <c r="H75" s="10" t="s">
        <v>36</v>
      </c>
      <c r="I75" s="3"/>
      <c r="K75" s="6">
        <v>1</v>
      </c>
    </row>
    <row r="76" spans="1:17" s="6" customFormat="1" ht="22.5" customHeight="1" x14ac:dyDescent="0.2">
      <c r="A76" s="3" t="s">
        <v>73</v>
      </c>
      <c r="B76" s="109"/>
      <c r="C76" s="110"/>
      <c r="D76" s="110"/>
      <c r="E76" s="110"/>
      <c r="F76" s="110"/>
      <c r="G76" s="111"/>
      <c r="H76" s="10"/>
      <c r="I76" s="3"/>
      <c r="K76" s="6">
        <v>1</v>
      </c>
      <c r="Q76" s="11"/>
    </row>
    <row r="77" spans="1:17" s="6" customFormat="1" ht="22.5" customHeight="1" thickBot="1" x14ac:dyDescent="0.25">
      <c r="A77" s="3" t="s">
        <v>1858</v>
      </c>
      <c r="B77" s="109" t="s">
        <v>41</v>
      </c>
      <c r="C77" s="110"/>
      <c r="D77" s="110"/>
      <c r="E77" s="110"/>
      <c r="F77" s="110"/>
      <c r="G77" s="111"/>
      <c r="H77" s="10"/>
      <c r="I77" s="3"/>
      <c r="K77" s="6">
        <v>1</v>
      </c>
    </row>
    <row r="78" spans="1:17" s="11" customFormat="1" ht="37.5" customHeight="1" thickTop="1" x14ac:dyDescent="0.3">
      <c r="A78" s="29" t="s">
        <v>80</v>
      </c>
      <c r="B78" s="30"/>
      <c r="C78" s="30"/>
      <c r="D78" s="30"/>
      <c r="E78" s="30"/>
      <c r="F78" s="30"/>
      <c r="G78" s="30"/>
      <c r="H78" s="30"/>
      <c r="I78" s="31"/>
      <c r="K78" s="11">
        <v>1</v>
      </c>
      <c r="Q78" s="6"/>
    </row>
    <row r="79" spans="1:17" s="6" customFormat="1" ht="37.5" customHeight="1" thickBot="1" x14ac:dyDescent="0.25">
      <c r="A79" s="103" t="s">
        <v>1633</v>
      </c>
      <c r="B79" s="104"/>
      <c r="C79" s="104"/>
      <c r="D79" s="104"/>
      <c r="E79" s="104"/>
      <c r="F79" s="104"/>
      <c r="G79" s="104"/>
      <c r="H79" s="104"/>
      <c r="I79" s="105"/>
      <c r="K79" s="6">
        <v>1</v>
      </c>
      <c r="Q79" s="11"/>
    </row>
    <row r="80" spans="1:17" s="11" customFormat="1" ht="37.5" customHeight="1" thickTop="1" x14ac:dyDescent="0.3">
      <c r="A80" s="29" t="s">
        <v>81</v>
      </c>
      <c r="B80" s="30"/>
      <c r="C80" s="30"/>
      <c r="D80" s="30"/>
      <c r="E80" s="30"/>
      <c r="F80" s="30"/>
      <c r="G80" s="30"/>
      <c r="H80" s="30"/>
      <c r="I80" s="31"/>
      <c r="K80" s="11">
        <v>1</v>
      </c>
    </row>
    <row r="81" spans="1:17" s="11" customFormat="1" ht="22.5" customHeight="1" x14ac:dyDescent="0.2">
      <c r="A81" s="32" t="s">
        <v>82</v>
      </c>
      <c r="B81" s="33"/>
      <c r="C81" s="33"/>
      <c r="D81" s="33"/>
      <c r="E81" s="33"/>
      <c r="F81" s="33"/>
      <c r="G81" s="33"/>
      <c r="H81" s="33"/>
      <c r="I81" s="34"/>
      <c r="K81" s="11">
        <v>1</v>
      </c>
      <c r="Q81" s="6"/>
    </row>
    <row r="82" spans="1:17" s="6" customFormat="1" ht="22.5" customHeight="1" x14ac:dyDescent="0.2">
      <c r="A82" s="7" t="s">
        <v>0</v>
      </c>
      <c r="B82" s="112" t="s">
        <v>1</v>
      </c>
      <c r="C82" s="113"/>
      <c r="D82" s="113"/>
      <c r="E82" s="113"/>
      <c r="F82" s="113"/>
      <c r="G82" s="114"/>
      <c r="H82" s="7" t="s">
        <v>35</v>
      </c>
      <c r="I82" s="7" t="s">
        <v>30</v>
      </c>
      <c r="K82" s="6">
        <v>1</v>
      </c>
    </row>
    <row r="83" spans="1:17" s="6" customFormat="1" ht="75" customHeight="1" x14ac:dyDescent="0.2">
      <c r="A83" s="20" t="s">
        <v>83</v>
      </c>
      <c r="B83" s="115"/>
      <c r="C83" s="116"/>
      <c r="D83" s="116"/>
      <c r="E83" s="116"/>
      <c r="F83" s="116"/>
      <c r="G83" s="117"/>
      <c r="H83" s="8" t="s">
        <v>36</v>
      </c>
      <c r="I83" s="21" t="s">
        <v>84</v>
      </c>
      <c r="K83" s="6">
        <v>1</v>
      </c>
    </row>
    <row r="84" spans="1:17" s="6" customFormat="1" ht="22.5" customHeight="1" x14ac:dyDescent="0.2">
      <c r="A84" s="56" t="s">
        <v>85</v>
      </c>
      <c r="B84" s="109" t="s">
        <v>41</v>
      </c>
      <c r="C84" s="110"/>
      <c r="D84" s="110"/>
      <c r="E84" s="110"/>
      <c r="F84" s="110"/>
      <c r="G84" s="111"/>
      <c r="H84" s="9" t="s">
        <v>36</v>
      </c>
      <c r="I84" s="2"/>
      <c r="K84" s="6">
        <v>1</v>
      </c>
      <c r="L84" s="6" t="s">
        <v>36</v>
      </c>
      <c r="M84" s="6" t="s">
        <v>41</v>
      </c>
    </row>
    <row r="85" spans="1:17" s="6" customFormat="1" ht="22.5" customHeight="1" x14ac:dyDescent="0.2">
      <c r="A85" s="56" t="s">
        <v>86</v>
      </c>
      <c r="B85" s="109"/>
      <c r="C85" s="110"/>
      <c r="D85" s="110"/>
      <c r="E85" s="110"/>
      <c r="F85" s="110"/>
      <c r="G85" s="111"/>
      <c r="H85" s="9" t="s">
        <v>36</v>
      </c>
      <c r="I85" s="2" t="s">
        <v>96</v>
      </c>
      <c r="K85" s="6" t="b">
        <f>AND(OR(IF($L85,$B$84=$L$84),IF($M85,$B$84=$M$84)))</f>
        <v>1</v>
      </c>
      <c r="L85" s="6">
        <v>0</v>
      </c>
      <c r="M85" s="6">
        <v>1</v>
      </c>
      <c r="N85" s="6" t="s">
        <v>1822</v>
      </c>
    </row>
    <row r="86" spans="1:17" s="6" customFormat="1" ht="22.5" customHeight="1" x14ac:dyDescent="0.2">
      <c r="A86" s="2" t="s">
        <v>97</v>
      </c>
      <c r="B86" s="109"/>
      <c r="C86" s="110"/>
      <c r="D86" s="110"/>
      <c r="E86" s="110"/>
      <c r="F86" s="110"/>
      <c r="G86" s="111"/>
      <c r="H86" s="9" t="s">
        <v>36</v>
      </c>
      <c r="I86" s="2"/>
      <c r="K86" s="6">
        <v>1</v>
      </c>
    </row>
    <row r="87" spans="1:17" s="6" customFormat="1" ht="22.5" customHeight="1" x14ac:dyDescent="0.2">
      <c r="A87" s="2" t="s">
        <v>98</v>
      </c>
      <c r="B87" s="124"/>
      <c r="C87" s="125"/>
      <c r="D87" s="125"/>
      <c r="E87" s="125"/>
      <c r="F87" s="125"/>
      <c r="G87" s="126"/>
      <c r="H87" s="9" t="s">
        <v>36</v>
      </c>
      <c r="I87" s="2"/>
      <c r="K87" s="6">
        <v>1</v>
      </c>
    </row>
    <row r="88" spans="1:17" s="6" customFormat="1" ht="22.5" customHeight="1" x14ac:dyDescent="0.2">
      <c r="A88" s="2" t="s">
        <v>99</v>
      </c>
      <c r="B88" s="127"/>
      <c r="C88" s="125"/>
      <c r="D88" s="125"/>
      <c r="E88" s="125"/>
      <c r="F88" s="125"/>
      <c r="G88" s="126"/>
      <c r="H88" s="9" t="s">
        <v>36</v>
      </c>
      <c r="I88" s="2"/>
      <c r="K88" s="6">
        <v>1</v>
      </c>
    </row>
    <row r="89" spans="1:17" s="6" customFormat="1" ht="22.5" customHeight="1" x14ac:dyDescent="0.2">
      <c r="A89" s="2" t="s">
        <v>100</v>
      </c>
      <c r="B89" s="109"/>
      <c r="C89" s="110"/>
      <c r="D89" s="110"/>
      <c r="E89" s="110"/>
      <c r="F89" s="110"/>
      <c r="G89" s="111"/>
      <c r="H89" s="9" t="s">
        <v>36</v>
      </c>
      <c r="I89" s="2"/>
      <c r="K89" s="6">
        <v>1</v>
      </c>
    </row>
    <row r="90" spans="1:17" s="6" customFormat="1" ht="22.5" customHeight="1" x14ac:dyDescent="0.2">
      <c r="A90" s="2" t="s">
        <v>101</v>
      </c>
      <c r="B90" s="109"/>
      <c r="C90" s="110"/>
      <c r="D90" s="110"/>
      <c r="E90" s="110"/>
      <c r="F90" s="110"/>
      <c r="G90" s="111"/>
      <c r="H90" s="9" t="s">
        <v>36</v>
      </c>
      <c r="I90" s="2"/>
      <c r="K90" s="6">
        <v>1</v>
      </c>
    </row>
    <row r="91" spans="1:17" s="6" customFormat="1" ht="22.5" customHeight="1" x14ac:dyDescent="0.2">
      <c r="A91" s="59" t="s">
        <v>102</v>
      </c>
      <c r="B91" s="109" t="s">
        <v>485</v>
      </c>
      <c r="C91" s="110"/>
      <c r="D91" s="110"/>
      <c r="E91" s="110"/>
      <c r="F91" s="110"/>
      <c r="G91" s="111"/>
      <c r="H91" s="10" t="s">
        <v>36</v>
      </c>
      <c r="I91" s="3"/>
      <c r="K91" s="6">
        <v>1</v>
      </c>
    </row>
    <row r="92" spans="1:17" s="6" customFormat="1" ht="22.5" customHeight="1" x14ac:dyDescent="0.2">
      <c r="A92" s="59" t="s">
        <v>1634</v>
      </c>
      <c r="B92" s="109" t="s">
        <v>41</v>
      </c>
      <c r="C92" s="110"/>
      <c r="D92" s="110"/>
      <c r="E92" s="110"/>
      <c r="F92" s="110"/>
      <c r="G92" s="111"/>
      <c r="H92" s="10"/>
      <c r="I92" s="3"/>
      <c r="K92" s="6">
        <v>1</v>
      </c>
      <c r="L92" s="6" t="s">
        <v>36</v>
      </c>
      <c r="M92" s="6" t="s">
        <v>41</v>
      </c>
    </row>
    <row r="93" spans="1:17" s="6" customFormat="1" ht="75" customHeight="1" x14ac:dyDescent="0.2">
      <c r="A93" s="60" t="s">
        <v>1635</v>
      </c>
      <c r="B93" s="121" t="s">
        <v>1636</v>
      </c>
      <c r="C93" s="122"/>
      <c r="D93" s="122"/>
      <c r="E93" s="122"/>
      <c r="F93" s="122"/>
      <c r="G93" s="123"/>
      <c r="H93" s="10"/>
      <c r="I93" s="36" t="s">
        <v>1637</v>
      </c>
      <c r="K93" s="6" t="b">
        <f>AND(OR(IF($L93,$B$92=$L$92),IF($M93,$B$92=$M$92)))</f>
        <v>0</v>
      </c>
      <c r="L93" s="6">
        <v>1</v>
      </c>
      <c r="M93" s="6">
        <v>0</v>
      </c>
      <c r="N93" s="6" t="s">
        <v>1636</v>
      </c>
      <c r="Q93" s="11"/>
    </row>
    <row r="94" spans="1:17" s="11" customFormat="1" ht="22.5" customHeight="1" x14ac:dyDescent="0.2">
      <c r="A94" s="32" t="s">
        <v>103</v>
      </c>
      <c r="B94" s="33"/>
      <c r="C94" s="33"/>
      <c r="D94" s="33"/>
      <c r="E94" s="33"/>
      <c r="F94" s="33"/>
      <c r="G94" s="33"/>
      <c r="H94" s="33"/>
      <c r="I94" s="34"/>
      <c r="K94" s="11">
        <v>1</v>
      </c>
      <c r="Q94" s="6"/>
    </row>
    <row r="95" spans="1:17" s="6" customFormat="1" ht="22.5" customHeight="1" x14ac:dyDescent="0.2">
      <c r="A95" s="7" t="s">
        <v>0</v>
      </c>
      <c r="B95" s="112" t="s">
        <v>1</v>
      </c>
      <c r="C95" s="113"/>
      <c r="D95" s="113"/>
      <c r="E95" s="113"/>
      <c r="F95" s="113"/>
      <c r="G95" s="114"/>
      <c r="H95" s="7" t="s">
        <v>35</v>
      </c>
      <c r="I95" s="7" t="s">
        <v>30</v>
      </c>
      <c r="K95" s="6">
        <v>1</v>
      </c>
    </row>
    <row r="96" spans="1:17" s="6" customFormat="1" ht="22.5" customHeight="1" x14ac:dyDescent="0.2">
      <c r="A96" s="61" t="s">
        <v>104</v>
      </c>
      <c r="B96" s="115" t="s">
        <v>41</v>
      </c>
      <c r="C96" s="116"/>
      <c r="D96" s="116"/>
      <c r="E96" s="116"/>
      <c r="F96" s="116"/>
      <c r="G96" s="117"/>
      <c r="H96" s="8" t="s">
        <v>36</v>
      </c>
      <c r="I96" s="1"/>
      <c r="K96" s="6">
        <v>1</v>
      </c>
      <c r="L96" s="6" t="s">
        <v>36</v>
      </c>
      <c r="M96" s="6" t="s">
        <v>41</v>
      </c>
    </row>
    <row r="97" spans="1:17" s="6" customFormat="1" ht="37.5" customHeight="1" x14ac:dyDescent="0.2">
      <c r="A97" s="88" t="s">
        <v>105</v>
      </c>
      <c r="B97" s="94"/>
      <c r="C97" s="95"/>
      <c r="D97" s="95"/>
      <c r="E97" s="95"/>
      <c r="F97" s="95"/>
      <c r="G97" s="96"/>
      <c r="H97" s="9"/>
      <c r="I97" s="23" t="s">
        <v>106</v>
      </c>
      <c r="K97" s="6" t="b">
        <f>AND(OR(IF($L97,$B$96=$L$96),IF($M97,$B$96=$M$96)))</f>
        <v>1</v>
      </c>
      <c r="L97" s="6">
        <v>0</v>
      </c>
      <c r="M97" s="6">
        <v>1</v>
      </c>
    </row>
    <row r="98" spans="1:17" s="6" customFormat="1" ht="22.5" customHeight="1" x14ac:dyDescent="0.2">
      <c r="A98" s="56" t="s">
        <v>107</v>
      </c>
      <c r="B98" s="109"/>
      <c r="C98" s="110"/>
      <c r="D98" s="110"/>
      <c r="E98" s="110"/>
      <c r="F98" s="110"/>
      <c r="G98" s="111"/>
      <c r="H98" s="9" t="s">
        <v>36</v>
      </c>
      <c r="I98" s="2"/>
      <c r="K98" s="6">
        <v>1</v>
      </c>
    </row>
    <row r="99" spans="1:17" s="6" customFormat="1" ht="22.5" customHeight="1" x14ac:dyDescent="0.2">
      <c r="A99" s="2" t="s">
        <v>108</v>
      </c>
      <c r="B99" s="109"/>
      <c r="C99" s="110"/>
      <c r="D99" s="110"/>
      <c r="E99" s="110"/>
      <c r="F99" s="110"/>
      <c r="G99" s="111"/>
      <c r="H99" s="9" t="s">
        <v>36</v>
      </c>
      <c r="I99" s="2"/>
      <c r="K99" s="6">
        <v>1</v>
      </c>
    </row>
    <row r="100" spans="1:17" s="6" customFormat="1" ht="112.5" customHeight="1" x14ac:dyDescent="0.2">
      <c r="A100" s="27" t="s">
        <v>109</v>
      </c>
      <c r="B100" s="94"/>
      <c r="C100" s="95"/>
      <c r="D100" s="95"/>
      <c r="E100" s="95"/>
      <c r="F100" s="95"/>
      <c r="G100" s="96"/>
      <c r="H100" s="9" t="s">
        <v>36</v>
      </c>
      <c r="I100" s="27" t="s">
        <v>111</v>
      </c>
      <c r="K100" s="6">
        <v>1</v>
      </c>
    </row>
    <row r="101" spans="1:17" s="6" customFormat="1" ht="112.5" customHeight="1" x14ac:dyDescent="0.2">
      <c r="A101" s="27" t="s">
        <v>110</v>
      </c>
      <c r="B101" s="94"/>
      <c r="C101" s="95"/>
      <c r="D101" s="95"/>
      <c r="E101" s="95"/>
      <c r="F101" s="95"/>
      <c r="G101" s="96"/>
      <c r="H101" s="9" t="s">
        <v>36</v>
      </c>
      <c r="I101" s="27" t="s">
        <v>112</v>
      </c>
      <c r="K101" s="6">
        <v>1</v>
      </c>
    </row>
    <row r="102" spans="1:17" s="6" customFormat="1" ht="112.5" customHeight="1" x14ac:dyDescent="0.2">
      <c r="A102" s="27" t="s">
        <v>113</v>
      </c>
      <c r="B102" s="94"/>
      <c r="C102" s="95"/>
      <c r="D102" s="95"/>
      <c r="E102" s="95"/>
      <c r="F102" s="95"/>
      <c r="G102" s="96"/>
      <c r="H102" s="9" t="s">
        <v>36</v>
      </c>
      <c r="I102" s="27" t="s">
        <v>342</v>
      </c>
      <c r="K102" s="6">
        <v>1</v>
      </c>
    </row>
    <row r="103" spans="1:17" s="6" customFormat="1" ht="30" customHeight="1" x14ac:dyDescent="0.2">
      <c r="A103" s="61" t="s">
        <v>344</v>
      </c>
      <c r="B103" s="109">
        <v>10</v>
      </c>
      <c r="C103" s="110"/>
      <c r="D103" s="110"/>
      <c r="E103" s="110"/>
      <c r="F103" s="110"/>
      <c r="G103" s="111"/>
      <c r="H103" s="9" t="s">
        <v>36</v>
      </c>
      <c r="I103" s="2" t="s">
        <v>114</v>
      </c>
      <c r="K103" s="6">
        <v>1</v>
      </c>
    </row>
    <row r="104" spans="1:17" s="6" customFormat="1" ht="56.25" customHeight="1" x14ac:dyDescent="0.2">
      <c r="A104" s="70" t="s">
        <v>1836</v>
      </c>
      <c r="B104" s="94" t="s">
        <v>1838</v>
      </c>
      <c r="C104" s="95"/>
      <c r="D104" s="95"/>
      <c r="E104" s="95"/>
      <c r="F104" s="95"/>
      <c r="G104" s="96"/>
      <c r="H104" s="10"/>
      <c r="I104" s="3"/>
      <c r="K104" s="6">
        <v>1</v>
      </c>
      <c r="N104" s="11" t="s">
        <v>1838</v>
      </c>
      <c r="Q104" s="11"/>
    </row>
    <row r="105" spans="1:17" s="6" customFormat="1" ht="74.25" customHeight="1" x14ac:dyDescent="0.2">
      <c r="A105" s="70" t="s">
        <v>1837</v>
      </c>
      <c r="B105" s="94" t="s">
        <v>1839</v>
      </c>
      <c r="C105" s="95"/>
      <c r="D105" s="95"/>
      <c r="E105" s="95"/>
      <c r="F105" s="95"/>
      <c r="G105" s="96"/>
      <c r="H105" s="10"/>
      <c r="I105" s="3"/>
      <c r="K105" s="6">
        <v>1</v>
      </c>
      <c r="N105" s="11" t="s">
        <v>1839</v>
      </c>
      <c r="Q105" s="11"/>
    </row>
    <row r="106" spans="1:17" s="6" customFormat="1" ht="22.5" customHeight="1" x14ac:dyDescent="0.2">
      <c r="A106" s="56" t="s">
        <v>115</v>
      </c>
      <c r="B106" s="94">
        <v>60</v>
      </c>
      <c r="C106" s="95"/>
      <c r="D106" s="95"/>
      <c r="E106" s="95"/>
      <c r="F106" s="95"/>
      <c r="G106" s="96"/>
      <c r="H106" s="9" t="s">
        <v>36</v>
      </c>
      <c r="I106" s="2" t="s">
        <v>343</v>
      </c>
      <c r="K106" s="6">
        <v>1</v>
      </c>
    </row>
    <row r="107" spans="1:17" s="6" customFormat="1" ht="37.5" customHeight="1" x14ac:dyDescent="0.2">
      <c r="A107" s="59" t="s">
        <v>116</v>
      </c>
      <c r="B107" s="121" t="s">
        <v>118</v>
      </c>
      <c r="C107" s="122"/>
      <c r="D107" s="122"/>
      <c r="E107" s="122"/>
      <c r="F107" s="122"/>
      <c r="G107" s="123"/>
      <c r="H107" s="10"/>
      <c r="I107" s="3" t="s">
        <v>117</v>
      </c>
      <c r="K107" s="6">
        <v>1</v>
      </c>
      <c r="N107" s="11" t="s">
        <v>118</v>
      </c>
      <c r="Q107" s="11"/>
    </row>
    <row r="108" spans="1:17" s="11" customFormat="1" ht="22.5" customHeight="1" x14ac:dyDescent="0.2">
      <c r="A108" s="32" t="s">
        <v>119</v>
      </c>
      <c r="B108" s="33"/>
      <c r="C108" s="33"/>
      <c r="D108" s="33"/>
      <c r="E108" s="33"/>
      <c r="F108" s="33"/>
      <c r="G108" s="33"/>
      <c r="H108" s="33"/>
      <c r="I108" s="34"/>
      <c r="K108" s="11">
        <v>1</v>
      </c>
      <c r="Q108" s="6"/>
    </row>
    <row r="109" spans="1:17" s="6" customFormat="1" ht="22.5" customHeight="1" x14ac:dyDescent="0.2">
      <c r="A109" s="7" t="s">
        <v>0</v>
      </c>
      <c r="B109" s="112" t="s">
        <v>1</v>
      </c>
      <c r="C109" s="113"/>
      <c r="D109" s="113"/>
      <c r="E109" s="113"/>
      <c r="F109" s="113"/>
      <c r="G109" s="114"/>
      <c r="H109" s="7" t="s">
        <v>35</v>
      </c>
      <c r="I109" s="7" t="s">
        <v>30</v>
      </c>
      <c r="K109" s="6">
        <v>1</v>
      </c>
    </row>
    <row r="110" spans="1:17" s="6" customFormat="1" ht="37.5" customHeight="1" x14ac:dyDescent="0.2">
      <c r="A110" s="1" t="s">
        <v>1866</v>
      </c>
      <c r="B110" s="118" t="s">
        <v>1645</v>
      </c>
      <c r="C110" s="119"/>
      <c r="D110" s="119"/>
      <c r="E110" s="119"/>
      <c r="F110" s="119"/>
      <c r="G110" s="119"/>
      <c r="H110" s="119"/>
      <c r="I110" s="120"/>
      <c r="K110" s="6">
        <v>1</v>
      </c>
    </row>
    <row r="111" spans="1:17" s="6" customFormat="1" ht="37.5" customHeight="1" x14ac:dyDescent="0.2">
      <c r="A111" s="1" t="s">
        <v>1840</v>
      </c>
      <c r="B111" s="118" t="s">
        <v>1867</v>
      </c>
      <c r="C111" s="119"/>
      <c r="D111" s="119"/>
      <c r="E111" s="119"/>
      <c r="F111" s="119"/>
      <c r="G111" s="119"/>
      <c r="H111" s="119"/>
      <c r="I111" s="120"/>
      <c r="K111" s="6">
        <v>1</v>
      </c>
    </row>
    <row r="112" spans="1:17" s="6" customFormat="1" ht="75" customHeight="1" x14ac:dyDescent="0.2">
      <c r="A112" s="20" t="s">
        <v>120</v>
      </c>
      <c r="B112" s="121"/>
      <c r="C112" s="122"/>
      <c r="D112" s="122"/>
      <c r="E112" s="122"/>
      <c r="F112" s="122"/>
      <c r="G112" s="123"/>
      <c r="H112" s="8" t="s">
        <v>36</v>
      </c>
      <c r="I112" s="21" t="s">
        <v>121</v>
      </c>
      <c r="K112" s="6">
        <v>1</v>
      </c>
    </row>
    <row r="113" spans="1:17" s="6" customFormat="1" ht="75" customHeight="1" x14ac:dyDescent="0.2">
      <c r="A113" s="22" t="s">
        <v>122</v>
      </c>
      <c r="B113" s="121"/>
      <c r="C113" s="122"/>
      <c r="D113" s="122"/>
      <c r="E113" s="122"/>
      <c r="F113" s="122"/>
      <c r="G113" s="123"/>
      <c r="H113" s="9" t="s">
        <v>36</v>
      </c>
      <c r="I113" s="27" t="s">
        <v>1843</v>
      </c>
      <c r="K113" s="6">
        <v>1</v>
      </c>
    </row>
    <row r="114" spans="1:17" s="6" customFormat="1" ht="75" customHeight="1" x14ac:dyDescent="0.2">
      <c r="A114" s="58" t="s">
        <v>1841</v>
      </c>
      <c r="B114" s="121"/>
      <c r="C114" s="122"/>
      <c r="D114" s="122"/>
      <c r="E114" s="122"/>
      <c r="F114" s="122"/>
      <c r="G114" s="123"/>
      <c r="H114" s="10" t="s">
        <v>36</v>
      </c>
      <c r="I114" s="28" t="s">
        <v>1842</v>
      </c>
      <c r="K114" s="6">
        <v>1</v>
      </c>
      <c r="Q114" s="11"/>
    </row>
    <row r="115" spans="1:17" s="6" customFormat="1" ht="108.75" customHeight="1" x14ac:dyDescent="0.2">
      <c r="A115" s="58" t="s">
        <v>1844</v>
      </c>
      <c r="B115" s="121"/>
      <c r="C115" s="122"/>
      <c r="D115" s="122"/>
      <c r="E115" s="122"/>
      <c r="F115" s="122"/>
      <c r="G115" s="123"/>
      <c r="H115" s="10" t="s">
        <v>36</v>
      </c>
      <c r="I115" s="28" t="s">
        <v>1845</v>
      </c>
      <c r="K115" s="6">
        <v>1</v>
      </c>
      <c r="Q115" s="11"/>
    </row>
    <row r="116" spans="1:17" s="11" customFormat="1" ht="22.5" customHeight="1" x14ac:dyDescent="0.2">
      <c r="A116" s="32" t="s">
        <v>123</v>
      </c>
      <c r="B116" s="33"/>
      <c r="C116" s="33"/>
      <c r="D116" s="33"/>
      <c r="E116" s="33"/>
      <c r="F116" s="33"/>
      <c r="G116" s="33"/>
      <c r="H116" s="33"/>
      <c r="I116" s="34"/>
      <c r="K116" s="11">
        <v>1</v>
      </c>
      <c r="Q116" s="6"/>
    </row>
    <row r="117" spans="1:17" s="6" customFormat="1" ht="22.5" customHeight="1" x14ac:dyDescent="0.2">
      <c r="A117" s="7" t="s">
        <v>0</v>
      </c>
      <c r="B117" s="112"/>
      <c r="C117" s="113"/>
      <c r="D117" s="113"/>
      <c r="E117" s="113"/>
      <c r="F117" s="113"/>
      <c r="G117" s="114"/>
      <c r="H117" s="7" t="s">
        <v>35</v>
      </c>
      <c r="I117" s="7" t="s">
        <v>30</v>
      </c>
      <c r="K117" s="6">
        <v>1</v>
      </c>
    </row>
    <row r="118" spans="1:17" s="6" customFormat="1" ht="112.5" customHeight="1" x14ac:dyDescent="0.2">
      <c r="A118" s="22" t="s">
        <v>1824</v>
      </c>
      <c r="B118" s="94" t="s">
        <v>1825</v>
      </c>
      <c r="C118" s="95"/>
      <c r="D118" s="95"/>
      <c r="E118" s="95"/>
      <c r="F118" s="95"/>
      <c r="G118" s="96"/>
      <c r="H118" s="9"/>
      <c r="I118" s="22"/>
      <c r="K118" s="6">
        <v>1</v>
      </c>
      <c r="N118" s="26" t="s">
        <v>1825</v>
      </c>
    </row>
    <row r="119" spans="1:17" s="6" customFormat="1" ht="112.5" customHeight="1" x14ac:dyDescent="0.2">
      <c r="A119" s="22" t="s">
        <v>124</v>
      </c>
      <c r="B119" s="94" t="s">
        <v>338</v>
      </c>
      <c r="C119" s="95"/>
      <c r="D119" s="95"/>
      <c r="E119" s="95"/>
      <c r="F119" s="95"/>
      <c r="G119" s="96"/>
      <c r="H119" s="9" t="s">
        <v>36</v>
      </c>
      <c r="I119" s="27"/>
      <c r="K119" s="6">
        <v>1</v>
      </c>
      <c r="N119" s="24" t="s">
        <v>338</v>
      </c>
    </row>
    <row r="120" spans="1:17" s="6" customFormat="1" ht="112.5" customHeight="1" x14ac:dyDescent="0.2">
      <c r="A120" s="22" t="s">
        <v>125</v>
      </c>
      <c r="B120" s="94" t="s">
        <v>339</v>
      </c>
      <c r="C120" s="95"/>
      <c r="D120" s="95"/>
      <c r="E120" s="95"/>
      <c r="F120" s="95"/>
      <c r="G120" s="96"/>
      <c r="H120" s="9" t="s">
        <v>36</v>
      </c>
      <c r="I120" s="22"/>
      <c r="K120" s="6">
        <v>1</v>
      </c>
      <c r="N120" s="26" t="s">
        <v>339</v>
      </c>
    </row>
    <row r="121" spans="1:17" s="6" customFormat="1" ht="112.5" customHeight="1" x14ac:dyDescent="0.2">
      <c r="A121" s="22" t="s">
        <v>126</v>
      </c>
      <c r="B121" s="94"/>
      <c r="C121" s="95"/>
      <c r="D121" s="95"/>
      <c r="E121" s="95"/>
      <c r="F121" s="95"/>
      <c r="G121" s="96"/>
      <c r="H121" s="9" t="s">
        <v>36</v>
      </c>
      <c r="I121" s="27" t="s">
        <v>341</v>
      </c>
      <c r="K121" s="6">
        <v>1</v>
      </c>
    </row>
    <row r="122" spans="1:17" s="6" customFormat="1" ht="112.5" customHeight="1" x14ac:dyDescent="0.2">
      <c r="A122" s="22" t="s">
        <v>127</v>
      </c>
      <c r="B122" s="94"/>
      <c r="C122" s="95"/>
      <c r="D122" s="95"/>
      <c r="E122" s="95"/>
      <c r="F122" s="95"/>
      <c r="G122" s="96"/>
      <c r="H122" s="9" t="s">
        <v>36</v>
      </c>
      <c r="I122" s="27" t="s">
        <v>340</v>
      </c>
      <c r="K122" s="6">
        <v>1</v>
      </c>
    </row>
    <row r="123" spans="1:17" s="6" customFormat="1" ht="112.5" customHeight="1" x14ac:dyDescent="0.2">
      <c r="A123" s="22" t="s">
        <v>128</v>
      </c>
      <c r="B123" s="94"/>
      <c r="C123" s="95"/>
      <c r="D123" s="95"/>
      <c r="E123" s="95"/>
      <c r="F123" s="95"/>
      <c r="G123" s="96"/>
      <c r="H123" s="9" t="s">
        <v>36</v>
      </c>
      <c r="I123" s="27"/>
      <c r="K123" s="6">
        <v>1</v>
      </c>
    </row>
    <row r="124" spans="1:17" s="6" customFormat="1" ht="112.5" customHeight="1" x14ac:dyDescent="0.2">
      <c r="A124" s="22" t="s">
        <v>129</v>
      </c>
      <c r="B124" s="94"/>
      <c r="C124" s="95"/>
      <c r="D124" s="95"/>
      <c r="E124" s="95"/>
      <c r="F124" s="95"/>
      <c r="G124" s="96"/>
      <c r="H124" s="9" t="s">
        <v>36</v>
      </c>
      <c r="I124" s="27" t="s">
        <v>132</v>
      </c>
      <c r="K124" s="6">
        <v>1</v>
      </c>
    </row>
    <row r="125" spans="1:17" s="6" customFormat="1" ht="75" customHeight="1" x14ac:dyDescent="0.2">
      <c r="A125" s="89" t="s">
        <v>130</v>
      </c>
      <c r="B125" s="94"/>
      <c r="C125" s="95"/>
      <c r="D125" s="95"/>
      <c r="E125" s="95"/>
      <c r="F125" s="95"/>
      <c r="G125" s="96"/>
      <c r="H125" s="9" t="s">
        <v>36</v>
      </c>
      <c r="I125" s="27"/>
      <c r="K125" s="6">
        <v>1</v>
      </c>
    </row>
    <row r="126" spans="1:17" s="6" customFormat="1" ht="37.5" customHeight="1" x14ac:dyDescent="0.2">
      <c r="A126" s="90" t="s">
        <v>131</v>
      </c>
      <c r="B126" s="128" t="s">
        <v>1643</v>
      </c>
      <c r="C126" s="129"/>
      <c r="D126" s="129"/>
      <c r="E126" s="129"/>
      <c r="F126" s="129"/>
      <c r="G126" s="130"/>
      <c r="H126" s="25"/>
      <c r="I126" s="73" t="s">
        <v>133</v>
      </c>
      <c r="K126" s="6">
        <v>1</v>
      </c>
    </row>
    <row r="127" spans="1:17" s="11" customFormat="1" ht="22.5" customHeight="1" x14ac:dyDescent="0.2">
      <c r="A127" s="80" t="s">
        <v>1847</v>
      </c>
      <c r="B127" s="32"/>
      <c r="C127" s="33"/>
      <c r="D127" s="33"/>
      <c r="E127" s="33"/>
      <c r="F127" s="33"/>
      <c r="G127" s="34"/>
      <c r="H127" s="80"/>
      <c r="I127" s="80"/>
      <c r="K127" s="11">
        <v>1</v>
      </c>
      <c r="Q127" s="6"/>
    </row>
    <row r="128" spans="1:17" s="6" customFormat="1" ht="22.5" customHeight="1" x14ac:dyDescent="0.2">
      <c r="A128" s="70" t="s">
        <v>1848</v>
      </c>
      <c r="B128" s="94"/>
      <c r="C128" s="95"/>
      <c r="D128" s="95"/>
      <c r="E128" s="95"/>
      <c r="F128" s="95"/>
      <c r="G128" s="96"/>
      <c r="H128" s="77" t="s">
        <v>36</v>
      </c>
      <c r="I128" s="72"/>
      <c r="K128" s="6">
        <v>1</v>
      </c>
      <c r="L128" s="6" t="s">
        <v>1850</v>
      </c>
      <c r="M128" s="6" t="s">
        <v>1851</v>
      </c>
      <c r="N128" s="6" t="s">
        <v>1852</v>
      </c>
    </row>
    <row r="129" spans="1:14" s="6" customFormat="1" ht="22.5" customHeight="1" x14ac:dyDescent="0.2">
      <c r="A129" s="56" t="s">
        <v>1853</v>
      </c>
      <c r="B129" s="94" t="s">
        <v>41</v>
      </c>
      <c r="C129" s="95"/>
      <c r="D129" s="95"/>
      <c r="E129" s="95"/>
      <c r="F129" s="95"/>
      <c r="G129" s="96"/>
      <c r="H129" s="77" t="s">
        <v>36</v>
      </c>
      <c r="I129" s="72"/>
      <c r="K129" s="6">
        <v>1</v>
      </c>
      <c r="N129" s="35"/>
    </row>
    <row r="130" spans="1:14" s="6" customFormat="1" ht="22.5" customHeight="1" x14ac:dyDescent="0.2">
      <c r="A130" s="70" t="s">
        <v>1854</v>
      </c>
      <c r="B130" s="94">
        <v>5</v>
      </c>
      <c r="C130" s="95"/>
      <c r="D130" s="95"/>
      <c r="E130" s="95"/>
      <c r="F130" s="95"/>
      <c r="G130" s="96"/>
      <c r="H130" s="77" t="s">
        <v>36</v>
      </c>
      <c r="I130" s="72"/>
      <c r="K130" s="6">
        <v>1</v>
      </c>
      <c r="L130" s="6">
        <v>1</v>
      </c>
      <c r="M130" s="6">
        <v>1</v>
      </c>
      <c r="N130" s="35">
        <v>0</v>
      </c>
    </row>
    <row r="131" spans="1:14" s="6" customFormat="1" ht="22.5" customHeight="1" x14ac:dyDescent="0.2">
      <c r="A131" s="56" t="s">
        <v>1855</v>
      </c>
      <c r="B131" s="94">
        <v>5</v>
      </c>
      <c r="C131" s="95"/>
      <c r="D131" s="95"/>
      <c r="E131" s="95"/>
      <c r="F131" s="95"/>
      <c r="G131" s="96"/>
      <c r="H131" s="77" t="s">
        <v>36</v>
      </c>
      <c r="I131" s="72"/>
      <c r="K131" s="6">
        <v>1</v>
      </c>
      <c r="L131" s="6">
        <v>0</v>
      </c>
      <c r="M131" s="6">
        <v>1</v>
      </c>
      <c r="N131" s="35">
        <v>0</v>
      </c>
    </row>
    <row r="132" spans="1:14" s="6" customFormat="1" ht="60.75" customHeight="1" x14ac:dyDescent="0.2">
      <c r="A132" s="79" t="s">
        <v>1856</v>
      </c>
      <c r="B132" s="97" t="s">
        <v>1857</v>
      </c>
      <c r="C132" s="98"/>
      <c r="D132" s="98"/>
      <c r="E132" s="98"/>
      <c r="F132" s="98"/>
      <c r="G132" s="99"/>
      <c r="H132" s="78" t="s">
        <v>36</v>
      </c>
      <c r="I132" s="76"/>
      <c r="K132" s="6">
        <v>1</v>
      </c>
      <c r="L132" s="6">
        <v>0</v>
      </c>
      <c r="M132" s="6">
        <v>1</v>
      </c>
      <c r="N132" s="6">
        <v>0</v>
      </c>
    </row>
  </sheetData>
  <sheetProtection algorithmName="SHA-512" hashValue="lt1+lpZ/nxQhvCTXK5FdXVPlXUJT+SAJFAfhTj0qO/7bIKL1zVr1mM/Rt5eejGIXOTn2YVcWWUxPcctOCRy3wg==" saltValue="x9G/vlXttPEgywTf8+HCKQ==" spinCount="100000" sheet="1" objects="1" scenarios="1" selectLockedCells="1"/>
  <mergeCells count="102">
    <mergeCell ref="B112:G112"/>
    <mergeCell ref="B113:G113"/>
    <mergeCell ref="B114:G114"/>
    <mergeCell ref="B115:G115"/>
    <mergeCell ref="B128:G128"/>
    <mergeCell ref="B129:G129"/>
    <mergeCell ref="B125:G125"/>
    <mergeCell ref="B126:G126"/>
    <mergeCell ref="B117:G117"/>
    <mergeCell ref="B119:G119"/>
    <mergeCell ref="B120:G120"/>
    <mergeCell ref="B121:G121"/>
    <mergeCell ref="B122:G122"/>
    <mergeCell ref="B123:G123"/>
    <mergeCell ref="B118:G118"/>
    <mergeCell ref="B124:G124"/>
    <mergeCell ref="B106:G106"/>
    <mergeCell ref="B107:G107"/>
    <mergeCell ref="B110:I110"/>
    <mergeCell ref="B104:G104"/>
    <mergeCell ref="B99:G99"/>
    <mergeCell ref="B100:G100"/>
    <mergeCell ref="B101:G101"/>
    <mergeCell ref="B109:G109"/>
    <mergeCell ref="B77:G77"/>
    <mergeCell ref="B93:G93"/>
    <mergeCell ref="B87:G87"/>
    <mergeCell ref="B88:G88"/>
    <mergeCell ref="B89:G89"/>
    <mergeCell ref="B90:G90"/>
    <mergeCell ref="B91:G91"/>
    <mergeCell ref="B96:G96"/>
    <mergeCell ref="B97:G97"/>
    <mergeCell ref="B98:G98"/>
    <mergeCell ref="B95:G95"/>
    <mergeCell ref="B92:G92"/>
    <mergeCell ref="B105:G105"/>
    <mergeCell ref="B84:G84"/>
    <mergeCell ref="B85:G85"/>
    <mergeCell ref="B86:G86"/>
    <mergeCell ref="B102:G102"/>
    <mergeCell ref="B103:G103"/>
    <mergeCell ref="B82:G82"/>
    <mergeCell ref="B83:G83"/>
    <mergeCell ref="B46:G46"/>
    <mergeCell ref="B48:G48"/>
    <mergeCell ref="B47:G47"/>
    <mergeCell ref="B74:G74"/>
    <mergeCell ref="B76:G76"/>
    <mergeCell ref="B75:G75"/>
    <mergeCell ref="B69:G69"/>
    <mergeCell ref="B71:G71"/>
    <mergeCell ref="B51:G51"/>
    <mergeCell ref="B52:G52"/>
    <mergeCell ref="B53:G53"/>
    <mergeCell ref="B72:G72"/>
    <mergeCell ref="B54:G54"/>
    <mergeCell ref="B11:G11"/>
    <mergeCell ref="B12:G12"/>
    <mergeCell ref="B19:G19"/>
    <mergeCell ref="B14:G14"/>
    <mergeCell ref="B37:G37"/>
    <mergeCell ref="B40:G40"/>
    <mergeCell ref="B43:G43"/>
    <mergeCell ref="B41:G41"/>
    <mergeCell ref="B42:G42"/>
    <mergeCell ref="B15:G15"/>
    <mergeCell ref="B16:G16"/>
    <mergeCell ref="B28:G28"/>
    <mergeCell ref="B24:G24"/>
    <mergeCell ref="B25:G25"/>
    <mergeCell ref="B31:G31"/>
    <mergeCell ref="B32:G32"/>
    <mergeCell ref="B17:G17"/>
    <mergeCell ref="B34:G34"/>
    <mergeCell ref="B38:G38"/>
    <mergeCell ref="B39:G39"/>
    <mergeCell ref="B33:G33"/>
    <mergeCell ref="B130:G130"/>
    <mergeCell ref="B131:G131"/>
    <mergeCell ref="B132:G132"/>
    <mergeCell ref="A1:I1"/>
    <mergeCell ref="A79:I79"/>
    <mergeCell ref="B35:G35"/>
    <mergeCell ref="B30:G30"/>
    <mergeCell ref="B29:G29"/>
    <mergeCell ref="B45:G45"/>
    <mergeCell ref="B23:G23"/>
    <mergeCell ref="B20:G20"/>
    <mergeCell ref="B26:G26"/>
    <mergeCell ref="B21:G21"/>
    <mergeCell ref="B22:G22"/>
    <mergeCell ref="B44:G44"/>
    <mergeCell ref="B13:G13"/>
    <mergeCell ref="B73:G73"/>
    <mergeCell ref="B67:G67"/>
    <mergeCell ref="B68:G68"/>
    <mergeCell ref="B70:G70"/>
    <mergeCell ref="B18:G18"/>
    <mergeCell ref="B111:I111"/>
    <mergeCell ref="B9:G9"/>
    <mergeCell ref="B10:G10"/>
  </mergeCells>
  <conditionalFormatting sqref="A107:I110 A116:I117 A44:I50 A57:I60 A118:A119 H118:I119 A112:A114 H112:I114 A106 H106:I106 A10:I37 A120:I126 A66:I103">
    <cfRule type="expression" dxfId="141" priority="52">
      <formula>$K10=FALSE</formula>
    </cfRule>
  </conditionalFormatting>
  <conditionalFormatting sqref="I62">
    <cfRule type="expression" dxfId="140" priority="46">
      <formula>$K62=FALSE</formula>
    </cfRule>
  </conditionalFormatting>
  <conditionalFormatting sqref="A61:I61 A62:A63 H63:I63 H62">
    <cfRule type="expression" dxfId="139" priority="49">
      <formula>$K61=FALSE</formula>
    </cfRule>
  </conditionalFormatting>
  <conditionalFormatting sqref="B62:G62">
    <cfRule type="expression" dxfId="138" priority="48">
      <formula>$K62=FALSE</formula>
    </cfRule>
  </conditionalFormatting>
  <conditionalFormatting sqref="B63:G63">
    <cfRule type="expression" dxfId="137" priority="47">
      <formula>$K63=FALSE</formula>
    </cfRule>
  </conditionalFormatting>
  <conditionalFormatting sqref="A51:I51">
    <cfRule type="expression" dxfId="136" priority="45">
      <formula>$K51=FALSE</formula>
    </cfRule>
  </conditionalFormatting>
  <conditionalFormatting sqref="A52:I52">
    <cfRule type="expression" dxfId="135" priority="44">
      <formula>$K52=FALSE</formula>
    </cfRule>
  </conditionalFormatting>
  <conditionalFormatting sqref="A53:I53">
    <cfRule type="expression" dxfId="134" priority="43">
      <formula>$K53=FALSE</formula>
    </cfRule>
  </conditionalFormatting>
  <conditionalFormatting sqref="I64">
    <cfRule type="expression" dxfId="133" priority="40">
      <formula>$K64=FALSE</formula>
    </cfRule>
  </conditionalFormatting>
  <conditionalFormatting sqref="A64 H64">
    <cfRule type="expression" dxfId="132" priority="42">
      <formula>$K64=FALSE</formula>
    </cfRule>
  </conditionalFormatting>
  <conditionalFormatting sqref="B64:G64">
    <cfRule type="expression" dxfId="131" priority="41">
      <formula>$K64=FALSE</formula>
    </cfRule>
  </conditionalFormatting>
  <conditionalFormatting sqref="I65">
    <cfRule type="expression" dxfId="130" priority="37">
      <formula>$K65=FALSE</formula>
    </cfRule>
  </conditionalFormatting>
  <conditionalFormatting sqref="A65 H65">
    <cfRule type="expression" dxfId="129" priority="39">
      <formula>$K65=FALSE</formula>
    </cfRule>
  </conditionalFormatting>
  <conditionalFormatting sqref="B65:G65">
    <cfRule type="expression" dxfId="128" priority="38">
      <formula>$K65=FALSE</formula>
    </cfRule>
  </conditionalFormatting>
  <conditionalFormatting sqref="A132:I132">
    <cfRule type="expression" dxfId="127" priority="24">
      <formula>$K132=FALSE</formula>
    </cfRule>
  </conditionalFormatting>
  <conditionalFormatting sqref="A104 H104:I104">
    <cfRule type="expression" dxfId="126" priority="33">
      <formula>$K104=FALSE</formula>
    </cfRule>
  </conditionalFormatting>
  <conditionalFormatting sqref="A105 H105:I105">
    <cfRule type="expression" dxfId="125" priority="32">
      <formula>$K105=FALSE</formula>
    </cfRule>
  </conditionalFormatting>
  <conditionalFormatting sqref="A115 H115:I115">
    <cfRule type="expression" dxfId="124" priority="30">
      <formula>$K115=FALSE</formula>
    </cfRule>
  </conditionalFormatting>
  <conditionalFormatting sqref="A127:I127">
    <cfRule type="expression" dxfId="123" priority="29">
      <formula>$K127=FALSE</formula>
    </cfRule>
  </conditionalFormatting>
  <conditionalFormatting sqref="H128:I128">
    <cfRule type="expression" dxfId="122" priority="28">
      <formula>$K128=FALSE</formula>
    </cfRule>
  </conditionalFormatting>
  <conditionalFormatting sqref="H129:I129">
    <cfRule type="expression" dxfId="121" priority="27">
      <formula>$K129=FALSE</formula>
    </cfRule>
  </conditionalFormatting>
  <conditionalFormatting sqref="H130:I130">
    <cfRule type="expression" dxfId="120" priority="26">
      <formula>$K130=FALSE</formula>
    </cfRule>
  </conditionalFormatting>
  <conditionalFormatting sqref="H131:I131">
    <cfRule type="expression" dxfId="119" priority="25">
      <formula>$K131=FALSE</formula>
    </cfRule>
  </conditionalFormatting>
  <conditionalFormatting sqref="A43:G43">
    <cfRule type="expression" dxfId="118" priority="22">
      <formula>$K43=FALSE</formula>
    </cfRule>
  </conditionalFormatting>
  <conditionalFormatting sqref="A54:I54">
    <cfRule type="expression" dxfId="117" priority="21">
      <formula>$K54=FALSE</formula>
    </cfRule>
  </conditionalFormatting>
  <conditionalFormatting sqref="A55:I55">
    <cfRule type="expression" dxfId="116" priority="20">
      <formula>$K55=FALSE</formula>
    </cfRule>
  </conditionalFormatting>
  <conditionalFormatting sqref="A56:I56">
    <cfRule type="expression" dxfId="115" priority="19">
      <formula>$K56=FALSE</formula>
    </cfRule>
  </conditionalFormatting>
  <conditionalFormatting sqref="A111:I111">
    <cfRule type="expression" dxfId="114" priority="18">
      <formula>$K111=FALSE</formula>
    </cfRule>
  </conditionalFormatting>
  <conditionalFormatting sqref="B38:G42">
    <cfRule type="expression" dxfId="113" priority="17">
      <formula>$K38=FALSE</formula>
    </cfRule>
  </conditionalFormatting>
  <conditionalFormatting sqref="A38:A42">
    <cfRule type="expression" dxfId="112" priority="16">
      <formula>$K38=FALSE</formula>
    </cfRule>
  </conditionalFormatting>
  <conditionalFormatting sqref="H38:I43">
    <cfRule type="expression" dxfId="111" priority="15">
      <formula>$K38=FALSE</formula>
    </cfRule>
  </conditionalFormatting>
  <conditionalFormatting sqref="B128:G131">
    <cfRule type="expression" dxfId="110" priority="12">
      <formula>$K128=FALSE</formula>
    </cfRule>
  </conditionalFormatting>
  <conditionalFormatting sqref="A129 A131">
    <cfRule type="expression" dxfId="109" priority="11">
      <formula>$K129=FALSE</formula>
    </cfRule>
  </conditionalFormatting>
  <conditionalFormatting sqref="A128 A130">
    <cfRule type="expression" dxfId="108" priority="10">
      <formula>$K128=FALSE</formula>
    </cfRule>
  </conditionalFormatting>
  <conditionalFormatting sqref="B118:G119">
    <cfRule type="expression" dxfId="107" priority="9">
      <formula>$K118=FALSE</formula>
    </cfRule>
  </conditionalFormatting>
  <conditionalFormatting sqref="B104:G106">
    <cfRule type="expression" dxfId="106" priority="6">
      <formula>$K104=FALSE</formula>
    </cfRule>
  </conditionalFormatting>
  <conditionalFormatting sqref="B112:G112">
    <cfRule type="expression" dxfId="105" priority="4">
      <formula>$K112=FALSE</formula>
    </cfRule>
  </conditionalFormatting>
  <conditionalFormatting sqref="B113:G113">
    <cfRule type="expression" dxfId="104" priority="3">
      <formula>$K113=FALSE</formula>
    </cfRule>
  </conditionalFormatting>
  <conditionalFormatting sqref="B115:G115">
    <cfRule type="expression" dxfId="103" priority="2">
      <formula>$K115=FALSE</formula>
    </cfRule>
  </conditionalFormatting>
  <conditionalFormatting sqref="B114:G114">
    <cfRule type="expression" dxfId="102" priority="1">
      <formula>$K114=FALSE</formula>
    </cfRule>
  </conditionalFormatting>
  <dataValidations xWindow="870" yWindow="580" count="46">
    <dataValidation type="list" showInputMessage="1" showErrorMessage="1" errorTitle="قيمة غير صحيحة" error="اختر قيمة من القائمة" prompt="اختر قيمة من القائمة" sqref="B11">
      <formula1>tender_type</formula1>
    </dataValidation>
    <dataValidation type="list" showInputMessage="1" showErrorMessage="1" errorTitle="قيمة غير صحيحة" error="اختر قيمة من القائمة" prompt="اختر قيمة من القائمة" sqref="B14">
      <formula1>tender_type_reason_direct</formula1>
    </dataValidation>
    <dataValidation type="list" allowBlank="1" showInputMessage="1" showErrorMessage="1" errorTitle="قيمة غير صحيحة" error="اختر قيمة من القائمة" prompt="اختر قيمة من القائمة" sqref="B40">
      <formula1>initial_bank_guarantee</formula1>
    </dataValidation>
    <dataValidation type="list" showInputMessage="1" showErrorMessage="1" errorTitle="قيمة غير صحيحة" error="اختر قيمة من القائمة" prompt="اختر قيمة من القائمة" sqref="C64 C60 C49 C62 C55 C57:C58">
      <formula1>day</formula1>
    </dataValidation>
    <dataValidation type="list" showInputMessage="1" showErrorMessage="1" errorTitle="قيمة غير صحيحة" error="اختر قيمة من القائمة" prompt="اختر قيمة من القائمة" sqref="E64 E60 E49 E62 E55 E57:E58">
      <formula1>month</formula1>
    </dataValidation>
    <dataValidation type="list" showInputMessage="1" showErrorMessage="1" errorTitle="قيمة غير صحيحة" error="اختر قيمة من القائمة" prompt="اختر قيمة من القائمة" sqref="G64 G60 G49 G62 G55 G57:G58">
      <formula1>year</formula1>
    </dataValidation>
    <dataValidation type="list" showInputMessage="1" showErrorMessage="1" errorTitle="قيمة غير صحيحة" error="اختر قيمة من القائمة" prompt="اختر قيمة من القائمة" sqref="C59 C50 C61 C63 C56">
      <formula1>minute</formula1>
    </dataValidation>
    <dataValidation type="list" showInputMessage="1" showErrorMessage="1" errorTitle="قيمة غير صحيحة" error="اختر قيمة من القائمة" prompt="اختر قيمة من القائمة" sqref="E59 E50 E61 E63 E56">
      <formula1>hour</formula1>
    </dataValidation>
    <dataValidation type="list" showInputMessage="1" showErrorMessage="1" errorTitle="قيمة غير صحيحة" error="اختر قيمة من القائمة" prompt="اختر قيمة من القائمة" sqref="G59 G50 G61 G63 G56">
      <formula1>am_pm</formula1>
    </dataValidation>
    <dataValidation type="whole" operator="greaterThanOrEqual" showInputMessage="1" showErrorMessage="1" errorTitle="قيمة غير صحيحة" error="أدخل عدد صحيح" prompt="أدخل عدد صحيح" sqref="E27 G27 C27">
      <formula1>0</formula1>
    </dataValidation>
    <dataValidation type="list" showInputMessage="1" showErrorMessage="1" errorTitle="قيمة غير صحيحة" error="اختر قيمة من القائمة" prompt="اختر قيمة من القائمة" sqref="B51:B52 B43">
      <formula1>bids_opening_location</formula1>
    </dataValidation>
    <dataValidation type="list" showInputMessage="1" showErrorMessage="1" errorTitle="قيمة غير صحيحة" error="اختر قيمة من القائمة" prompt="اختر قيمة من القائمة" sqref="B44 B92 B96 B20 B84 B22 B77">
      <formula1>yes_no</formula1>
    </dataValidation>
    <dataValidation type="list" showInputMessage="1" showErrorMessage="1" errorTitle="قيمة غير صحيحة" error="اختر قيمة من القائمة" prompt="اختر قيمة من القائمة" sqref="B68">
      <formula1>execution_location</formula1>
    </dataValidation>
    <dataValidation type="list" showInputMessage="1" showErrorMessage="1" errorTitle="قيمة غير صحيحة" error="اختر قيمة من القائمة" prompt="اختر عدة مرات لإضافة أكثر من قيمة. أعد اختيار القيمة لحذفها" sqref="B69">
      <formula1>states</formula1>
    </dataValidation>
    <dataValidation type="list" showInputMessage="1" showErrorMessage="1" errorTitle="قيمة غير صحيحة" error="اختر قيمة من القائمة" prompt="اختر عدة مرات لإضافة أكثر من قيمة. أعد اختيار القيمة لحذفها" sqref="B74">
      <formula1>activities</formula1>
    </dataValidation>
    <dataValidation type="list" showInputMessage="1" showErrorMessage="1" errorTitle="قيمة غير صحيحة" error="اختر قيمة من القائمة" prompt="اختر عدة مرات لإضافة أكثر من قيمة. أعد اختيار القيمة لحذفها" sqref="B85">
      <formula1>documents</formula1>
    </dataValidation>
    <dataValidation type="whole" showInputMessage="1" showErrorMessage="1" errorTitle="قيمة غير صحيحة" error="أدخل عدد صحيح" prompt="أدخل عدد صحيح" sqref="B98 B106">
      <formula1>1</formula1>
      <formula2>365</formula2>
    </dataValidation>
    <dataValidation type="whole" allowBlank="1" showInputMessage="1" showErrorMessage="1" errorTitle="قيمة غير صحيحة" error="أدخل عدد بحد أقصى 10" prompt="أدخل عدد بحد أقصى 10" sqref="B103">
      <formula1>1</formula1>
      <formula2>10</formula2>
    </dataValidation>
    <dataValidation type="list" showInputMessage="1" showErrorMessage="1" errorTitle="قيمة غير صحيحة" error="اختر قيمة من القائمة" prompt="اختر عدة مرات لإضافة أكثر من قيمة. أعد اختيار القيمة لحذفها" sqref="B72">
      <formula1>construction_works</formula1>
    </dataValidation>
    <dataValidation type="list" showInputMessage="1" showErrorMessage="1" errorTitle="قيمة غير صحيحة" error="اختر قيمة من القائمة" prompt="اختر عدة مرات لإضافة أكثر من قيمة. أعد اختيار القيمة لحذفها" sqref="B73">
      <formula1>operation_maintenance_works</formula1>
    </dataValidation>
    <dataValidation type="list" showInputMessage="1" showErrorMessage="1" errorTitle="قيمة غير صحيحة" error="اختر قيمة من القائمة" prompt="اختر قيمة من القائمة" sqref="B24">
      <formula1>tender_submission_method</formula1>
    </dataValidation>
    <dataValidation type="list" showInputMessage="1" showErrorMessage="1" errorTitle="قيمة غير صحيحة" error="اختر قيمة من القائمة" prompt="اختر قيمة من القائمة" sqref="B25">
      <formula1>invitation_type</formula1>
    </dataValidation>
    <dataValidation type="list" showInputMessage="1" showErrorMessage="1" errorTitle="قيمة غير صحيحة" error="اختر قيمة من القائمة" prompt="اختر قيمة من القائمة" sqref="B34">
      <formula1>direct_purchase_committee</formula1>
    </dataValidation>
    <dataValidation type="list" showInputMessage="1" showErrorMessage="1" errorTitle="قيمة غير صحيحة" error="اختر قيمة من القائمة" prompt="اختر قيمة من القائمة" sqref="B35:G35">
      <formula1>purchase_committee_members</formula1>
    </dataValidation>
    <dataValidation type="list" showInputMessage="1" showErrorMessage="1" errorTitle="قيمة غير صحيحة" error="اختر قيمة من القائمة" prompt="اختر قيمة من القائمة" sqref="B26">
      <formula1>agreement_type</formula1>
    </dataValidation>
    <dataValidation type="list" showInputMessage="1" showErrorMessage="1" errorTitle="قيمة غير صحيحة" error="اختر قيمة من القائمة" prompt="اختر قيمة من القائمة" sqref="B17">
      <formula1>technical_committee</formula1>
    </dataValidation>
    <dataValidation type="list" showInputMessage="1" showErrorMessage="1" errorTitle="قيمة غير صحيحة" error="اختر قيمة من القائمة" prompt="اختر قيمة من القائمة" sqref="B18">
      <formula1>tender_opening_committee</formula1>
    </dataValidation>
    <dataValidation type="list" showInputMessage="1" showErrorMessage="1" errorTitle="قيمة غير صحيحة" error="اختر قيمة من القائمة" prompt="اختر قيمة من القائمة" sqref="B19">
      <formula1>tender_check_committee</formula1>
    </dataValidation>
    <dataValidation type="list" showInputMessage="1" showErrorMessage="1" errorTitle="قيمة غير صحيحة" error="اختر قيمة من القائمة" prompt="اختر قيمة من القائمة" sqref="B23">
      <formula1>pre_qualification</formula1>
    </dataValidation>
    <dataValidation type="list" showInputMessage="1" showErrorMessage="1" errorTitle="قيمة غير صحيحة" error="اختر قيمة من القائمة" prompt="اختر قيمة من القائمة" sqref="B33">
      <formula1>action_type</formula1>
    </dataValidation>
    <dataValidation type="list" showInputMessage="1" showErrorMessage="1" errorTitle="قيمة غير صحيحة" error="اختر قيمة من القائمة" prompt="اختر قيمة من القائمة" sqref="B15">
      <formula1>tender_type_reason_limited</formula1>
    </dataValidation>
    <dataValidation type="list" showInputMessage="1" showErrorMessage="1" errorTitle="قيمة غير صحيحة" error="اختر قيمة من القائمة" prompt="اختر قيمة من القائمة" sqref="B28">
      <formula1>beneficiaries</formula1>
    </dataValidation>
    <dataValidation type="list" showInputMessage="1" showErrorMessage="1" errorTitle="قيمة غير صحيحة" error="اختر قيمة من القائمة" prompt="اختر عدة مرات لإضافة أكثر من قيمة. أعد اختيار القيمة لحذفها" sqref="B70">
      <formula1>countries</formula1>
    </dataValidation>
    <dataValidation type="decimal" operator="greaterThanOrEqual" allowBlank="1" showInputMessage="1" showErrorMessage="1" errorTitle="قيمة غير صحيحة" error="أدخل قيمة أكبر من 1" sqref="B32:G32 B30:G30">
      <formula1>1</formula1>
    </dataValidation>
    <dataValidation type="whole" operator="greaterThanOrEqual" showInputMessage="1" showErrorMessage="1" errorTitle="قيمة غير صحيحة" error="أدخل عدد صحيح أكبر من صفر" prompt="أدخل عدد صحيح" sqref="B29:G29">
      <formula1>1</formula1>
    </dataValidation>
    <dataValidation type="list" showInputMessage="1" showErrorMessage="1" errorTitle="قيمة غير صحيحة" error="اختر قيمة من القائمة" prompt="اختر قيمة من القائمة" sqref="B75:G75">
      <formula1>template_years</formula1>
    </dataValidation>
    <dataValidation type="whole" allowBlank="1" showInputMessage="1" showErrorMessage="1" errorTitle="قيمة غير صحيحة" error="أدخل 1 أو 2" prompt="أدخل 1 أو 2" sqref="B41:G41">
      <formula1>1</formula1>
      <formula2>2</formula2>
    </dataValidation>
    <dataValidation type="list" showInputMessage="1" showErrorMessage="1" errorTitle="قيمة غير صحيحة" error="اختر قيمة من القائمة" prompt="اختر قيمة من القائمة ويجب ان يكون أكبر من التاريخ المتوقع للترسية بيوم" sqref="C65">
      <formula1>day</formula1>
    </dataValidation>
    <dataValidation type="list" showInputMessage="1" showErrorMessage="1" errorTitle="قيمة غير صحيحة" error="اختر قيمة من القائمة" prompt="اختر قيمة من القائمة ويجب ان يكون أكبر من التاريخ المتوقع للترسية بيوم" sqref="E65">
      <formula1>month</formula1>
    </dataValidation>
    <dataValidation type="list" showInputMessage="1" showErrorMessage="1" errorTitle="قيمة غير صحيحة" error="اختر قيمة من القائمة" prompt="اختر قيمة من القائمة ويجب ان يكون أكبر من التاريخ المتوقع للترسية بيوم" sqref="G65">
      <formula1>year</formula1>
    </dataValidation>
    <dataValidation type="decimal" allowBlank="1" showInputMessage="1" showErrorMessage="1" errorTitle="قيمة غير صحيحة" error="ادخل رقم بين 5 و 100" prompt="ادخل رقم بين 5 و 100" sqref="B38:G38">
      <formula1>5</formula1>
      <formula2>100</formula2>
    </dataValidation>
    <dataValidation type="whole" allowBlank="1" showInputMessage="1" showErrorMessage="1" errorTitle="قيمة غير صحيحة" error="ادخل رقم بين 5 و 10" prompt="ادخل رقم بين 5 و 10" sqref="B39:G39">
      <formula1>5</formula1>
      <formula2>10</formula2>
    </dataValidation>
    <dataValidation type="list" showInputMessage="1" showErrorMessage="1" errorTitle="قيمة غير صحيحة" error="ااختر قيمة من القائمة" prompt="اختر قيمة من القائمة" sqref="B129:G129">
      <formula1>yes_no</formula1>
    </dataValidation>
    <dataValidation type="whole" showInputMessage="1" showErrorMessage="1" errorTitle="قيمة غير صحيحة" error="أدخل رقم بين 0 و 100" prompt="أدخل رقم بين 0 و 100" sqref="B130:G131">
      <formula1>0</formula1>
      <formula2>100</formula2>
    </dataValidation>
    <dataValidation type="list" showInputMessage="1" showErrorMessage="1" errorTitle="قيمة غير صحيحة" error="اختر قيمة من القائمة" prompt="اختر قيمة من القائمة" sqref="B53:G53">
      <formula1>floar_number</formula1>
    </dataValidation>
    <dataValidation type="list" allowBlank="1" showInputMessage="1" showErrorMessage="1" sqref="B128:G128">
      <formula1>local_content_mechanism</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65" r:id="rId4" name="CommandButton6">
          <controlPr defaultSize="0" autoLine="0" r:id="rId5">
            <anchor moveWithCells="1">
              <from>
                <xdr:col>6</xdr:col>
                <xdr:colOff>1123950</xdr:colOff>
                <xdr:row>109</xdr:row>
                <xdr:rowOff>47625</xdr:rowOff>
              </from>
              <to>
                <xdr:col>8</xdr:col>
                <xdr:colOff>733425</xdr:colOff>
                <xdr:row>109</xdr:row>
                <xdr:rowOff>447675</xdr:rowOff>
              </to>
            </anchor>
          </controlPr>
        </control>
      </mc:Choice>
      <mc:Fallback>
        <control shapeId="1165" r:id="rId4" name="CommandButton6"/>
      </mc:Fallback>
    </mc:AlternateContent>
    <mc:AlternateContent xmlns:mc="http://schemas.openxmlformats.org/markup-compatibility/2006">
      <mc:Choice Requires="x14">
        <control shapeId="1113" r:id="rId6" name="CommandButton3">
          <controlPr defaultSize="0" autoLine="0" r:id="rId7">
            <anchor moveWithCells="1">
              <from>
                <xdr:col>8</xdr:col>
                <xdr:colOff>3019425</xdr:colOff>
                <xdr:row>119</xdr:row>
                <xdr:rowOff>47625</xdr:rowOff>
              </from>
              <to>
                <xdr:col>8</xdr:col>
                <xdr:colOff>4476750</xdr:colOff>
                <xdr:row>119</xdr:row>
                <xdr:rowOff>447675</xdr:rowOff>
              </to>
            </anchor>
          </controlPr>
        </control>
      </mc:Choice>
      <mc:Fallback>
        <control shapeId="1113" r:id="rId6" name="CommandButton3"/>
      </mc:Fallback>
    </mc:AlternateContent>
    <mc:AlternateContent xmlns:mc="http://schemas.openxmlformats.org/markup-compatibility/2006">
      <mc:Choice Requires="x14">
        <control shapeId="1105" r:id="rId8" name="CommandButton1">
          <controlPr defaultSize="0" autoLine="0" r:id="rId9">
            <anchor moveWithCells="1">
              <from>
                <xdr:col>8</xdr:col>
                <xdr:colOff>3019425</xdr:colOff>
                <xdr:row>106</xdr:row>
                <xdr:rowOff>47625</xdr:rowOff>
              </from>
              <to>
                <xdr:col>8</xdr:col>
                <xdr:colOff>4476750</xdr:colOff>
                <xdr:row>106</xdr:row>
                <xdr:rowOff>447675</xdr:rowOff>
              </to>
            </anchor>
          </controlPr>
        </control>
      </mc:Choice>
      <mc:Fallback>
        <control shapeId="1105" r:id="rId8" name="CommandButton1"/>
      </mc:Fallback>
    </mc:AlternateContent>
    <mc:AlternateContent xmlns:mc="http://schemas.openxmlformats.org/markup-compatibility/2006">
      <mc:Choice Requires="x14">
        <control shapeId="1106" r:id="rId10" name="CommandButton2">
          <controlPr defaultSize="0" autoLine="0" r:id="rId11">
            <anchor moveWithCells="1">
              <from>
                <xdr:col>8</xdr:col>
                <xdr:colOff>3019425</xdr:colOff>
                <xdr:row>118</xdr:row>
                <xdr:rowOff>47625</xdr:rowOff>
              </from>
              <to>
                <xdr:col>8</xdr:col>
                <xdr:colOff>4476750</xdr:colOff>
                <xdr:row>118</xdr:row>
                <xdr:rowOff>447675</xdr:rowOff>
              </to>
            </anchor>
          </controlPr>
        </control>
      </mc:Choice>
      <mc:Fallback>
        <control shapeId="1106" r:id="rId10" name="CommandButton2"/>
      </mc:Fallback>
    </mc:AlternateContent>
    <mc:AlternateContent xmlns:mc="http://schemas.openxmlformats.org/markup-compatibility/2006">
      <mc:Choice Requires="x14">
        <control shapeId="1129" r:id="rId12" name="CommandButton4">
          <controlPr defaultSize="0" autoLine="0" r:id="rId13">
            <anchor moveWithCells="1">
              <from>
                <xdr:col>8</xdr:col>
                <xdr:colOff>3619500</xdr:colOff>
                <xdr:row>84</xdr:row>
                <xdr:rowOff>9525</xdr:rowOff>
              </from>
              <to>
                <xdr:col>8</xdr:col>
                <xdr:colOff>4476750</xdr:colOff>
                <xdr:row>85</xdr:row>
                <xdr:rowOff>0</xdr:rowOff>
              </to>
            </anchor>
          </controlPr>
        </control>
      </mc:Choice>
      <mc:Fallback>
        <control shapeId="1129" r:id="rId12" name="CommandButton4"/>
      </mc:Fallback>
    </mc:AlternateContent>
    <mc:AlternateContent xmlns:mc="http://schemas.openxmlformats.org/markup-compatibility/2006">
      <mc:Choice Requires="x14">
        <control shapeId="1158" r:id="rId14" name="CommandButton5">
          <controlPr defaultSize="0" autoLine="0" r:id="rId15">
            <anchor moveWithCells="1">
              <from>
                <xdr:col>8</xdr:col>
                <xdr:colOff>3019425</xdr:colOff>
                <xdr:row>92</xdr:row>
                <xdr:rowOff>47625</xdr:rowOff>
              </from>
              <to>
                <xdr:col>8</xdr:col>
                <xdr:colOff>4476750</xdr:colOff>
                <xdr:row>92</xdr:row>
                <xdr:rowOff>447675</xdr:rowOff>
              </to>
            </anchor>
          </controlPr>
        </control>
      </mc:Choice>
      <mc:Fallback>
        <control shapeId="1158" r:id="rId14" name="CommandButton5"/>
      </mc:Fallback>
    </mc:AlternateContent>
    <mc:AlternateContent xmlns:mc="http://schemas.openxmlformats.org/markup-compatibility/2006">
      <mc:Choice Requires="x14">
        <control shapeId="1167" r:id="rId16" name="CommandButton7">
          <controlPr defaultSize="0" autoLine="0" r:id="rId17">
            <anchor moveWithCells="1">
              <from>
                <xdr:col>8</xdr:col>
                <xdr:colOff>3019425</xdr:colOff>
                <xdr:row>117</xdr:row>
                <xdr:rowOff>38100</xdr:rowOff>
              </from>
              <to>
                <xdr:col>8</xdr:col>
                <xdr:colOff>4476750</xdr:colOff>
                <xdr:row>117</xdr:row>
                <xdr:rowOff>438150</xdr:rowOff>
              </to>
            </anchor>
          </controlPr>
        </control>
      </mc:Choice>
      <mc:Fallback>
        <control shapeId="1167" r:id="rId16" name="CommandButton7"/>
      </mc:Fallback>
    </mc:AlternateContent>
    <mc:AlternateContent xmlns:mc="http://schemas.openxmlformats.org/markup-compatibility/2006">
      <mc:Choice Requires="x14">
        <control shapeId="1173" r:id="rId18" name="CommandButton8">
          <controlPr defaultSize="0" autoLine="0" r:id="rId19">
            <anchor moveWithCells="1">
              <from>
                <xdr:col>6</xdr:col>
                <xdr:colOff>1123950</xdr:colOff>
                <xdr:row>110</xdr:row>
                <xdr:rowOff>57150</xdr:rowOff>
              </from>
              <to>
                <xdr:col>8</xdr:col>
                <xdr:colOff>733425</xdr:colOff>
                <xdr:row>110</xdr:row>
                <xdr:rowOff>457200</xdr:rowOff>
              </to>
            </anchor>
          </controlPr>
        </control>
      </mc:Choice>
      <mc:Fallback>
        <control shapeId="1173" r:id="rId18" name="CommandButton8"/>
      </mc:Fallback>
    </mc:AlternateContent>
    <mc:AlternateContent xmlns:mc="http://schemas.openxmlformats.org/markup-compatibility/2006">
      <mc:Choice Requires="x14">
        <control shapeId="1180" r:id="rId20" name="CommandButton9">
          <controlPr defaultSize="0" autoLine="0" r:id="rId21">
            <anchor moveWithCells="1">
              <from>
                <xdr:col>8</xdr:col>
                <xdr:colOff>3019425</xdr:colOff>
                <xdr:row>103</xdr:row>
                <xdr:rowOff>28575</xdr:rowOff>
              </from>
              <to>
                <xdr:col>8</xdr:col>
                <xdr:colOff>4476750</xdr:colOff>
                <xdr:row>103</xdr:row>
                <xdr:rowOff>428625</xdr:rowOff>
              </to>
            </anchor>
          </controlPr>
        </control>
      </mc:Choice>
      <mc:Fallback>
        <control shapeId="1180" r:id="rId20" name="CommandButton9"/>
      </mc:Fallback>
    </mc:AlternateContent>
    <mc:AlternateContent xmlns:mc="http://schemas.openxmlformats.org/markup-compatibility/2006">
      <mc:Choice Requires="x14">
        <control shapeId="1181" r:id="rId22" name="CommandButton10">
          <controlPr defaultSize="0" autoLine="0" r:id="rId23">
            <anchor moveWithCells="1">
              <from>
                <xdr:col>8</xdr:col>
                <xdr:colOff>3019425</xdr:colOff>
                <xdr:row>104</xdr:row>
                <xdr:rowOff>28575</xdr:rowOff>
              </from>
              <to>
                <xdr:col>8</xdr:col>
                <xdr:colOff>4476750</xdr:colOff>
                <xdr:row>104</xdr:row>
                <xdr:rowOff>428625</xdr:rowOff>
              </to>
            </anchor>
          </controlPr>
        </control>
      </mc:Choice>
      <mc:Fallback>
        <control shapeId="1181" r:id="rId22" name="CommandButton1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sheet____1"/>
  <dimension ref="A1:E1"/>
  <sheetViews>
    <sheetView rightToLeft="1" workbookViewId="0">
      <selection activeCell="B3" sqref="B3"/>
    </sheetView>
  </sheetViews>
  <sheetFormatPr defaultRowHeight="14.25" x14ac:dyDescent="0.2"/>
  <cols>
    <col min="1" max="3" width="15.625" customWidth="1"/>
    <col min="4" max="4" width="28.5" customWidth="1"/>
    <col min="5" max="5" width="15.625" customWidth="1"/>
  </cols>
  <sheetData>
    <row r="1" spans="1:5" ht="37.5" customHeight="1" x14ac:dyDescent="0.2">
      <c r="A1" s="54" t="s">
        <v>1861</v>
      </c>
      <c r="B1" s="54" t="s">
        <v>1862</v>
      </c>
      <c r="C1" s="54" t="s">
        <v>1863</v>
      </c>
      <c r="D1" s="82" t="s">
        <v>1864</v>
      </c>
      <c r="E1" s="24" t="s">
        <v>1865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
  <sheetViews>
    <sheetView rightToLeft="1" zoomScaleNormal="100" workbookViewId="0">
      <selection activeCell="B2" sqref="B2"/>
    </sheetView>
  </sheetViews>
  <sheetFormatPr defaultColWidth="9.125" defaultRowHeight="14.25" x14ac:dyDescent="0.2"/>
  <cols>
    <col min="1" max="2" width="29.375" style="6" customWidth="1"/>
    <col min="3" max="16384" width="9.125" style="6"/>
  </cols>
  <sheetData>
    <row r="1" spans="1:2" s="55" customFormat="1" ht="33.75" customHeight="1" x14ac:dyDescent="0.2">
      <c r="A1" s="54" t="s">
        <v>1868</v>
      </c>
      <c r="B1" s="54" t="s">
        <v>1869</v>
      </c>
    </row>
  </sheetData>
  <sheetProtection selectLockedCells="1"/>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rightToLeft="1" workbookViewId="0">
      <selection activeCell="B4" sqref="B4"/>
    </sheetView>
  </sheetViews>
  <sheetFormatPr defaultColWidth="9.125" defaultRowHeight="14.25" x14ac:dyDescent="0.2"/>
  <cols>
    <col min="1" max="1" width="42.75" customWidth="1"/>
  </cols>
  <sheetData>
    <row r="1" spans="1:1" s="55" customFormat="1" ht="33.75" customHeight="1" x14ac:dyDescent="0.2">
      <c r="A1" s="54" t="s">
        <v>1829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AI1011"/>
  <sheetViews>
    <sheetView rightToLeft="1" topLeftCell="Y1" zoomScaleNormal="100" workbookViewId="0">
      <selection activeCell="AC99" sqref="AC99"/>
    </sheetView>
  </sheetViews>
  <sheetFormatPr defaultColWidth="9.125" defaultRowHeight="14.25" x14ac:dyDescent="0.2"/>
  <cols>
    <col min="1" max="1" width="28" style="6" customWidth="1"/>
    <col min="2" max="2" width="34.125" style="6" customWidth="1"/>
    <col min="3" max="3" width="28.625" style="6" bestFit="1" customWidth="1"/>
    <col min="4" max="8" width="32.875" style="6" customWidth="1"/>
    <col min="9" max="9" width="28.125" style="6" customWidth="1"/>
    <col min="10" max="11" width="18.125" style="6" customWidth="1"/>
    <col min="12" max="12" width="62.625" style="6" bestFit="1" customWidth="1"/>
    <col min="13" max="13" width="28" style="6" customWidth="1"/>
    <col min="14" max="14" width="18.125" style="6" customWidth="1"/>
    <col min="15" max="15" width="25.25" style="6" customWidth="1"/>
    <col min="16" max="16" width="9.375" style="6" customWidth="1"/>
    <col min="17" max="17" width="23.25" style="6" customWidth="1"/>
    <col min="18" max="18" width="13.875" style="6" customWidth="1"/>
    <col min="19" max="23" width="9.125" style="6"/>
    <col min="24" max="24" width="19.875" style="6" bestFit="1" customWidth="1"/>
    <col min="25" max="25" width="17.625" style="6" bestFit="1" customWidth="1"/>
    <col min="26" max="26" width="34.25" style="6" bestFit="1" customWidth="1"/>
    <col min="27" max="27" width="53.75" style="6" bestFit="1" customWidth="1"/>
    <col min="28" max="28" width="39.625" style="6" customWidth="1"/>
    <col min="29" max="29" width="51.875" style="6" bestFit="1" customWidth="1"/>
    <col min="30" max="30" width="14.75" style="6" customWidth="1"/>
    <col min="31" max="31" width="16.75" style="6" bestFit="1" customWidth="1"/>
    <col min="32" max="32" width="18.375" style="6" bestFit="1" customWidth="1"/>
    <col min="33" max="33" width="17.125" style="6" customWidth="1"/>
    <col min="34" max="34" width="36" style="6" customWidth="1"/>
    <col min="35" max="35" width="26.75" style="6" customWidth="1"/>
    <col min="36" max="16384" width="9.125" style="6"/>
  </cols>
  <sheetData>
    <row r="1" spans="1:35" s="26" customFormat="1" ht="15" x14ac:dyDescent="0.25">
      <c r="A1" s="26" t="s">
        <v>1647</v>
      </c>
      <c r="B1" s="26" t="s">
        <v>1655</v>
      </c>
      <c r="C1" s="26" t="s">
        <v>1648</v>
      </c>
      <c r="D1" s="26" t="s">
        <v>1649</v>
      </c>
      <c r="E1" s="26" t="s">
        <v>1650</v>
      </c>
      <c r="F1" s="26" t="s">
        <v>1651</v>
      </c>
      <c r="G1" s="26" t="s">
        <v>1652</v>
      </c>
      <c r="H1" s="26" t="s">
        <v>1653</v>
      </c>
      <c r="I1" s="26" t="s">
        <v>1654</v>
      </c>
      <c r="J1" s="26" t="s">
        <v>1656</v>
      </c>
      <c r="K1" s="26" t="s">
        <v>1657</v>
      </c>
      <c r="L1" s="26" t="s">
        <v>1658</v>
      </c>
      <c r="M1" s="26" t="s">
        <v>1659</v>
      </c>
      <c r="N1" s="26" t="s">
        <v>1660</v>
      </c>
      <c r="O1" s="26" t="s">
        <v>1661</v>
      </c>
      <c r="P1" s="26" t="s">
        <v>1662</v>
      </c>
      <c r="Q1" s="26" t="s">
        <v>1663</v>
      </c>
      <c r="R1" s="26" t="s">
        <v>1812</v>
      </c>
      <c r="S1" s="26" t="s">
        <v>1813</v>
      </c>
      <c r="T1" s="26" t="s">
        <v>1814</v>
      </c>
      <c r="U1" s="26" t="s">
        <v>1815</v>
      </c>
      <c r="V1" s="26" t="s">
        <v>1816</v>
      </c>
      <c r="W1" s="26" t="s">
        <v>1818</v>
      </c>
      <c r="X1" s="26" t="s">
        <v>1817</v>
      </c>
      <c r="Y1" s="26" t="s">
        <v>1665</v>
      </c>
      <c r="Z1" s="26" t="s">
        <v>1666</v>
      </c>
      <c r="AA1" s="66" t="s">
        <v>1667</v>
      </c>
      <c r="AB1" s="66" t="s">
        <v>1668</v>
      </c>
      <c r="AC1" s="66" t="s">
        <v>1669</v>
      </c>
      <c r="AD1" s="67" t="s">
        <v>1820</v>
      </c>
      <c r="AE1" s="67" t="s">
        <v>1821</v>
      </c>
      <c r="AF1" s="68" t="s">
        <v>1670</v>
      </c>
      <c r="AG1" s="69" t="s">
        <v>1846</v>
      </c>
      <c r="AH1" s="86" t="s">
        <v>1849</v>
      </c>
      <c r="AI1" s="26" t="s">
        <v>1870</v>
      </c>
    </row>
    <row r="2" spans="1:35" x14ac:dyDescent="0.2">
      <c r="A2" s="6" t="s">
        <v>350</v>
      </c>
      <c r="B2" s="6" t="s">
        <v>1376</v>
      </c>
      <c r="C2" s="6" t="s">
        <v>10</v>
      </c>
      <c r="D2" s="6" t="s">
        <v>19</v>
      </c>
      <c r="E2" s="6" t="s">
        <v>1381</v>
      </c>
      <c r="F2" s="6" t="s">
        <v>1370</v>
      </c>
      <c r="G2" s="6" t="s">
        <v>1374</v>
      </c>
      <c r="H2" s="6" t="s">
        <v>1375</v>
      </c>
      <c r="I2" s="6" t="s">
        <v>345</v>
      </c>
      <c r="J2" s="6" t="s">
        <v>347</v>
      </c>
      <c r="K2" s="6" t="s">
        <v>1358</v>
      </c>
      <c r="L2" s="6" t="s">
        <v>477</v>
      </c>
      <c r="M2" s="6" t="s">
        <v>1826</v>
      </c>
      <c r="N2" s="6" t="s">
        <v>1377</v>
      </c>
      <c r="O2" s="6" t="s">
        <v>1823</v>
      </c>
      <c r="P2" s="6" t="s">
        <v>36</v>
      </c>
      <c r="Q2" s="6" t="s">
        <v>43</v>
      </c>
      <c r="R2" s="62" t="s">
        <v>1672</v>
      </c>
      <c r="S2" s="62" t="s">
        <v>1672</v>
      </c>
      <c r="T2" s="62" t="s">
        <v>1731</v>
      </c>
      <c r="U2" s="62" t="s">
        <v>1819</v>
      </c>
      <c r="V2" s="62" t="s">
        <v>1672</v>
      </c>
      <c r="W2" s="6" t="s">
        <v>56</v>
      </c>
      <c r="X2" s="6" t="s">
        <v>60</v>
      </c>
      <c r="Y2" s="6" t="s">
        <v>63</v>
      </c>
      <c r="Z2" s="26" t="s">
        <v>1386</v>
      </c>
      <c r="AA2" s="6" t="s">
        <v>141</v>
      </c>
      <c r="AB2" s="6" t="s">
        <v>231</v>
      </c>
      <c r="AC2" s="6" t="s">
        <v>74</v>
      </c>
      <c r="AD2" s="6" t="b">
        <v>0</v>
      </c>
      <c r="AE2" s="6">
        <f>IF(ISNUMBER(SEARCH(t_activities[[#This Row],[activities]],Form!$B$74)),t_activities[[#This Row],[show_years]],0)</f>
        <v>0</v>
      </c>
      <c r="AF2" s="6" t="s">
        <v>87</v>
      </c>
      <c r="AG2" s="6">
        <v>-1</v>
      </c>
      <c r="AH2" s="84" t="s">
        <v>1850</v>
      </c>
      <c r="AI2" s="6" t="s">
        <v>1871</v>
      </c>
    </row>
    <row r="3" spans="1:35" x14ac:dyDescent="0.2">
      <c r="A3" s="6" t="s">
        <v>351</v>
      </c>
      <c r="C3" s="6" t="s">
        <v>11</v>
      </c>
      <c r="D3" s="6" t="s">
        <v>20</v>
      </c>
      <c r="E3" s="6" t="s">
        <v>1382</v>
      </c>
      <c r="F3" s="6" t="s">
        <v>1371</v>
      </c>
      <c r="I3" s="6" t="s">
        <v>346</v>
      </c>
      <c r="J3" s="6" t="s">
        <v>348</v>
      </c>
      <c r="K3" s="6" t="s">
        <v>1359</v>
      </c>
      <c r="L3" s="6" t="s">
        <v>478</v>
      </c>
      <c r="N3" s="6" t="s">
        <v>1378</v>
      </c>
      <c r="O3" s="6" t="s">
        <v>32</v>
      </c>
      <c r="P3" s="6" t="s">
        <v>41</v>
      </c>
      <c r="Q3" s="6" t="s">
        <v>1664</v>
      </c>
      <c r="R3" s="62" t="s">
        <v>1673</v>
      </c>
      <c r="S3" s="62" t="s">
        <v>1673</v>
      </c>
      <c r="T3" s="62" t="s">
        <v>1732</v>
      </c>
      <c r="U3" s="62" t="s">
        <v>1672</v>
      </c>
      <c r="V3" s="62" t="s">
        <v>1673</v>
      </c>
      <c r="W3" s="6" t="s">
        <v>57</v>
      </c>
      <c r="X3" s="6" t="s">
        <v>61</v>
      </c>
      <c r="Y3" s="6" t="s">
        <v>64</v>
      </c>
      <c r="Z3" s="26" t="s">
        <v>1387</v>
      </c>
      <c r="AA3" s="6" t="s">
        <v>142</v>
      </c>
      <c r="AB3" s="6" t="s">
        <v>221</v>
      </c>
      <c r="AC3" s="6" t="s">
        <v>75</v>
      </c>
      <c r="AD3" s="6" t="b">
        <v>0</v>
      </c>
      <c r="AE3" s="6">
        <f>IF(ISNUMBER(SEARCH(t_activities[[#This Row],[activities]],Form!$B$74)),t_activities[[#This Row],[show_years]],0)</f>
        <v>0</v>
      </c>
      <c r="AF3" s="6" t="s">
        <v>88</v>
      </c>
      <c r="AG3" s="6">
        <v>0</v>
      </c>
      <c r="AH3" s="85" t="s">
        <v>1851</v>
      </c>
      <c r="AI3" s="6" t="s">
        <v>1872</v>
      </c>
    </row>
    <row r="4" spans="1:35" x14ac:dyDescent="0.2">
      <c r="C4" s="6" t="s">
        <v>12</v>
      </c>
      <c r="D4" s="6" t="s">
        <v>21</v>
      </c>
      <c r="E4" s="6" t="s">
        <v>1383</v>
      </c>
      <c r="F4" s="6" t="s">
        <v>1372</v>
      </c>
      <c r="L4" s="6" t="s">
        <v>479</v>
      </c>
      <c r="R4" s="62" t="s">
        <v>1674</v>
      </c>
      <c r="S4" s="62" t="s">
        <v>1674</v>
      </c>
      <c r="T4" s="62" t="s">
        <v>1733</v>
      </c>
      <c r="U4" s="62" t="s">
        <v>1673</v>
      </c>
      <c r="V4" s="62" t="s">
        <v>1674</v>
      </c>
      <c r="Y4" s="6" t="s">
        <v>134</v>
      </c>
      <c r="Z4" s="26" t="s">
        <v>1388</v>
      </c>
      <c r="AA4" s="6" t="s">
        <v>143</v>
      </c>
      <c r="AB4" s="6" t="s">
        <v>232</v>
      </c>
      <c r="AC4" s="6" t="s">
        <v>76</v>
      </c>
      <c r="AD4" s="6" t="b">
        <v>0</v>
      </c>
      <c r="AE4" s="6">
        <f>IF(ISNUMBER(SEARCH(t_activities[[#This Row],[activities]],Form!$B$74)),t_activities[[#This Row],[show_years]],0)</f>
        <v>0</v>
      </c>
      <c r="AF4" s="6" t="s">
        <v>89</v>
      </c>
      <c r="AG4" s="6">
        <v>1</v>
      </c>
      <c r="AH4" s="87" t="s">
        <v>1852</v>
      </c>
      <c r="AI4" s="6" t="s">
        <v>1873</v>
      </c>
    </row>
    <row r="5" spans="1:35" x14ac:dyDescent="0.2">
      <c r="C5" s="6" t="s">
        <v>13</v>
      </c>
      <c r="D5" s="6" t="s">
        <v>22</v>
      </c>
      <c r="E5" s="6" t="s">
        <v>1384</v>
      </c>
      <c r="F5" s="6" t="s">
        <v>1373</v>
      </c>
      <c r="L5" s="6" t="s">
        <v>480</v>
      </c>
      <c r="R5" s="62" t="s">
        <v>1675</v>
      </c>
      <c r="S5" s="62" t="s">
        <v>1675</v>
      </c>
      <c r="T5" s="62" t="s">
        <v>1734</v>
      </c>
      <c r="U5" s="62" t="s">
        <v>1674</v>
      </c>
      <c r="V5" s="62" t="s">
        <v>1675</v>
      </c>
      <c r="Y5" s="6" t="s">
        <v>135</v>
      </c>
      <c r="Z5" s="26" t="s">
        <v>1389</v>
      </c>
      <c r="AA5" s="6" t="s">
        <v>144</v>
      </c>
      <c r="AB5" s="6" t="s">
        <v>233</v>
      </c>
      <c r="AC5" s="6" t="s">
        <v>77</v>
      </c>
      <c r="AD5" s="6" t="b">
        <v>0</v>
      </c>
      <c r="AE5" s="6">
        <f>IF(ISNUMBER(SEARCH(t_activities[[#This Row],[activities]],Form!$B$74)),t_activities[[#This Row],[show_years]],0)</f>
        <v>0</v>
      </c>
      <c r="AF5" s="6" t="s">
        <v>90</v>
      </c>
      <c r="AG5" s="6">
        <v>2</v>
      </c>
      <c r="AI5" s="6" t="s">
        <v>1874</v>
      </c>
    </row>
    <row r="6" spans="1:35" x14ac:dyDescent="0.2">
      <c r="C6" s="6" t="s">
        <v>14</v>
      </c>
      <c r="D6" s="6" t="s">
        <v>26</v>
      </c>
      <c r="E6" s="6" t="s">
        <v>28</v>
      </c>
      <c r="L6" s="6" t="s">
        <v>481</v>
      </c>
      <c r="R6" s="62" t="s">
        <v>1676</v>
      </c>
      <c r="S6" s="62" t="s">
        <v>1676</v>
      </c>
      <c r="T6" s="62" t="s">
        <v>1735</v>
      </c>
      <c r="U6" s="62" t="s">
        <v>1675</v>
      </c>
      <c r="V6" s="62" t="s">
        <v>1676</v>
      </c>
      <c r="Y6" s="6" t="s">
        <v>65</v>
      </c>
      <c r="Z6" s="26" t="s">
        <v>1390</v>
      </c>
      <c r="AA6" s="6" t="s">
        <v>145</v>
      </c>
      <c r="AB6" s="6" t="s">
        <v>234</v>
      </c>
      <c r="AC6" s="6" t="s">
        <v>78</v>
      </c>
      <c r="AD6" s="6" t="b">
        <v>0</v>
      </c>
      <c r="AE6" s="6">
        <f>IF(ISNUMBER(SEARCH(t_activities[[#This Row],[activities]],Form!$B$74)),t_activities[[#This Row],[show_years]],0)</f>
        <v>0</v>
      </c>
      <c r="AF6" s="6" t="s">
        <v>91</v>
      </c>
      <c r="AG6" s="6">
        <v>3</v>
      </c>
      <c r="AI6" s="6" t="s">
        <v>1875</v>
      </c>
    </row>
    <row r="7" spans="1:35" x14ac:dyDescent="0.2">
      <c r="C7" s="6" t="s">
        <v>15</v>
      </c>
      <c r="D7" s="6" t="s">
        <v>27</v>
      </c>
      <c r="L7" s="6" t="s">
        <v>482</v>
      </c>
      <c r="R7" s="62" t="s">
        <v>1677</v>
      </c>
      <c r="S7" s="62" t="s">
        <v>1677</v>
      </c>
      <c r="T7" s="62" t="s">
        <v>1736</v>
      </c>
      <c r="U7" s="62" t="s">
        <v>1676</v>
      </c>
      <c r="V7" s="62" t="s">
        <v>1677</v>
      </c>
      <c r="Y7" s="6" t="s">
        <v>66</v>
      </c>
      <c r="Z7" s="26" t="s">
        <v>1391</v>
      </c>
      <c r="AA7" s="6" t="s">
        <v>146</v>
      </c>
      <c r="AB7" s="6" t="s">
        <v>235</v>
      </c>
      <c r="AC7" s="6" t="s">
        <v>249</v>
      </c>
      <c r="AD7" s="6" t="b">
        <v>0</v>
      </c>
      <c r="AE7" s="6">
        <f>IF(ISNUMBER(SEARCH(t_activities[[#This Row],[activities]],Form!$B$74)),t_activities[[#This Row],[show_years]],0)</f>
        <v>0</v>
      </c>
      <c r="AF7" s="6" t="s">
        <v>92</v>
      </c>
      <c r="AG7" s="6">
        <v>4</v>
      </c>
    </row>
    <row r="8" spans="1:35" x14ac:dyDescent="0.2">
      <c r="D8" s="6" t="s">
        <v>28</v>
      </c>
      <c r="L8" s="6" t="s">
        <v>483</v>
      </c>
      <c r="R8" s="62" t="s">
        <v>1678</v>
      </c>
      <c r="S8" s="62" t="s">
        <v>1678</v>
      </c>
      <c r="T8" s="62" t="s">
        <v>1737</v>
      </c>
      <c r="U8" s="62" t="s">
        <v>1677</v>
      </c>
      <c r="V8" s="62" t="s">
        <v>1678</v>
      </c>
      <c r="Y8" s="6" t="s">
        <v>67</v>
      </c>
      <c r="Z8" s="26" t="s">
        <v>1392</v>
      </c>
      <c r="AA8" s="6" t="s">
        <v>147</v>
      </c>
      <c r="AB8" s="6" t="s">
        <v>236</v>
      </c>
      <c r="AC8" s="6" t="s">
        <v>79</v>
      </c>
      <c r="AD8" s="6" t="b">
        <v>0</v>
      </c>
      <c r="AE8" s="6">
        <f>IF(ISNUMBER(SEARCH(t_activities[[#This Row],[activities]],Form!$B$74)),t_activities[[#This Row],[show_years]],0)</f>
        <v>0</v>
      </c>
      <c r="AF8" s="6" t="s">
        <v>93</v>
      </c>
      <c r="AG8" s="6">
        <v>5</v>
      </c>
    </row>
    <row r="9" spans="1:35" x14ac:dyDescent="0.2">
      <c r="L9" s="6" t="s">
        <v>484</v>
      </c>
      <c r="R9" s="62" t="s">
        <v>1679</v>
      </c>
      <c r="S9" s="62" t="s">
        <v>1679</v>
      </c>
      <c r="T9" s="62" t="s">
        <v>1738</v>
      </c>
      <c r="U9" s="62" t="s">
        <v>1678</v>
      </c>
      <c r="V9" s="62" t="s">
        <v>1679</v>
      </c>
      <c r="Y9" s="6" t="s">
        <v>68</v>
      </c>
      <c r="Z9" s="26" t="s">
        <v>1393</v>
      </c>
      <c r="AA9" s="6" t="s">
        <v>148</v>
      </c>
      <c r="AB9" s="6" t="s">
        <v>237</v>
      </c>
      <c r="AC9" s="6" t="s">
        <v>250</v>
      </c>
      <c r="AD9" s="6" t="b">
        <v>0</v>
      </c>
      <c r="AE9" s="6">
        <f>IF(ISNUMBER(SEARCH(t_activities[[#This Row],[activities]],Form!$B$74)),t_activities[[#This Row],[show_years]],0)</f>
        <v>0</v>
      </c>
      <c r="AF9" s="6" t="s">
        <v>94</v>
      </c>
      <c r="AG9" s="6">
        <v>6</v>
      </c>
    </row>
    <row r="10" spans="1:35" x14ac:dyDescent="0.2">
      <c r="L10" s="6" t="s">
        <v>485</v>
      </c>
      <c r="R10" s="62" t="s">
        <v>1680</v>
      </c>
      <c r="S10" s="62" t="s">
        <v>1680</v>
      </c>
      <c r="T10" s="62" t="s">
        <v>1739</v>
      </c>
      <c r="U10" s="62" t="s">
        <v>1679</v>
      </c>
      <c r="V10" s="62" t="s">
        <v>1680</v>
      </c>
      <c r="Y10" s="26" t="s">
        <v>136</v>
      </c>
      <c r="Z10" s="26" t="s">
        <v>1394</v>
      </c>
      <c r="AA10" s="6" t="s">
        <v>149</v>
      </c>
      <c r="AB10" s="6" t="s">
        <v>238</v>
      </c>
      <c r="AC10" s="6" t="s">
        <v>251</v>
      </c>
      <c r="AD10" s="6" t="b">
        <v>0</v>
      </c>
      <c r="AE10" s="6">
        <f>IF(ISNUMBER(SEARCH(t_activities[[#This Row],[activities]],Form!$B$74)),t_activities[[#This Row],[show_years]],0)</f>
        <v>0</v>
      </c>
      <c r="AF10" s="6" t="s">
        <v>95</v>
      </c>
      <c r="AG10" s="6">
        <v>7</v>
      </c>
    </row>
    <row r="11" spans="1:35" x14ac:dyDescent="0.2">
      <c r="L11" s="6" t="s">
        <v>486</v>
      </c>
      <c r="R11" s="62" t="s">
        <v>1682</v>
      </c>
      <c r="S11" s="62" t="s">
        <v>1682</v>
      </c>
      <c r="T11" s="62" t="s">
        <v>1740</v>
      </c>
      <c r="U11" s="62" t="s">
        <v>1680</v>
      </c>
      <c r="V11" s="62" t="s">
        <v>1682</v>
      </c>
      <c r="Y11" s="6" t="s">
        <v>137</v>
      </c>
      <c r="Z11" s="26" t="s">
        <v>1395</v>
      </c>
      <c r="AA11" s="6" t="s">
        <v>150</v>
      </c>
      <c r="AB11" s="6" t="s">
        <v>239</v>
      </c>
      <c r="AC11" s="6" t="s">
        <v>252</v>
      </c>
      <c r="AD11" s="6" t="b">
        <v>0</v>
      </c>
      <c r="AE11" s="6">
        <f>IF(ISNUMBER(SEARCH(t_activities[[#This Row],[activities]],Form!$B$74)),t_activities[[#This Row],[show_years]],0)</f>
        <v>0</v>
      </c>
      <c r="AG11" s="6">
        <v>8</v>
      </c>
    </row>
    <row r="12" spans="1:35" x14ac:dyDescent="0.2">
      <c r="L12" s="6" t="s">
        <v>487</v>
      </c>
      <c r="R12" s="62" t="s">
        <v>1681</v>
      </c>
      <c r="S12" s="62" t="s">
        <v>1681</v>
      </c>
      <c r="T12" s="62" t="s">
        <v>1741</v>
      </c>
      <c r="U12" s="62" t="s">
        <v>1682</v>
      </c>
      <c r="V12" s="62" t="s">
        <v>1681</v>
      </c>
      <c r="Y12" s="6" t="s">
        <v>138</v>
      </c>
      <c r="Z12" s="26" t="s">
        <v>1396</v>
      </c>
      <c r="AA12" s="6" t="s">
        <v>151</v>
      </c>
      <c r="AB12" s="6" t="s">
        <v>240</v>
      </c>
      <c r="AC12" s="6" t="s">
        <v>253</v>
      </c>
      <c r="AD12" s="6" t="b">
        <v>0</v>
      </c>
      <c r="AE12" s="6">
        <f>IF(ISNUMBER(SEARCH(t_activities[[#This Row],[activities]],Form!$B$74)),t_activities[[#This Row],[show_years]],0)</f>
        <v>0</v>
      </c>
      <c r="AG12" s="6">
        <v>9</v>
      </c>
    </row>
    <row r="13" spans="1:35" x14ac:dyDescent="0.2">
      <c r="L13" s="6" t="s">
        <v>488</v>
      </c>
      <c r="R13" s="62" t="s">
        <v>1683</v>
      </c>
      <c r="S13" s="62" t="s">
        <v>1683</v>
      </c>
      <c r="T13" s="62" t="s">
        <v>1742</v>
      </c>
      <c r="U13" s="62" t="s">
        <v>1681</v>
      </c>
      <c r="V13" s="62" t="s">
        <v>1683</v>
      </c>
      <c r="Y13" s="6" t="s">
        <v>139</v>
      </c>
      <c r="Z13" s="26" t="s">
        <v>1397</v>
      </c>
      <c r="AA13" s="6" t="s">
        <v>152</v>
      </c>
      <c r="AB13" s="6" t="s">
        <v>241</v>
      </c>
      <c r="AC13" s="6" t="s">
        <v>254</v>
      </c>
      <c r="AD13" s="6" t="b">
        <v>0</v>
      </c>
      <c r="AE13" s="6">
        <f>IF(ISNUMBER(SEARCH(t_activities[[#This Row],[activities]],Form!$B$74)),t_activities[[#This Row],[show_years]],0)</f>
        <v>0</v>
      </c>
      <c r="AG13" s="6">
        <v>10</v>
      </c>
    </row>
    <row r="14" spans="1:35" x14ac:dyDescent="0.2">
      <c r="L14" s="6" t="s">
        <v>489</v>
      </c>
      <c r="R14" s="62" t="s">
        <v>1684</v>
      </c>
      <c r="T14" s="62" t="s">
        <v>1743</v>
      </c>
      <c r="U14" s="62" t="s">
        <v>1683</v>
      </c>
      <c r="Y14" s="6" t="s">
        <v>140</v>
      </c>
      <c r="Z14" s="26" t="s">
        <v>1398</v>
      </c>
      <c r="AA14" s="6" t="s">
        <v>153</v>
      </c>
      <c r="AB14" s="6" t="s">
        <v>242</v>
      </c>
      <c r="AC14" s="6" t="s">
        <v>255</v>
      </c>
      <c r="AD14" s="6" t="b">
        <v>0</v>
      </c>
      <c r="AE14" s="6">
        <f>IF(ISNUMBER(SEARCH(t_activities[[#This Row],[activities]],Form!$B$74)),t_activities[[#This Row],[show_years]],0)</f>
        <v>0</v>
      </c>
      <c r="AG14" s="6">
        <v>11</v>
      </c>
    </row>
    <row r="15" spans="1:35" x14ac:dyDescent="0.2">
      <c r="L15" s="6" t="s">
        <v>490</v>
      </c>
      <c r="R15" s="62" t="s">
        <v>1685</v>
      </c>
      <c r="T15" s="62" t="s">
        <v>1744</v>
      </c>
      <c r="U15" s="62" t="s">
        <v>1684</v>
      </c>
      <c r="Z15" s="26" t="s">
        <v>1399</v>
      </c>
      <c r="AA15" s="6" t="s">
        <v>154</v>
      </c>
      <c r="AB15" s="6" t="s">
        <v>243</v>
      </c>
      <c r="AC15" s="6" t="s">
        <v>256</v>
      </c>
      <c r="AD15" s="6" t="b">
        <v>0</v>
      </c>
      <c r="AE15" s="6">
        <f>IF(ISNUMBER(SEARCH(t_activities[[#This Row],[activities]],Form!$B$74)),t_activities[[#This Row],[show_years]],0)</f>
        <v>0</v>
      </c>
      <c r="AG15" s="6">
        <v>12</v>
      </c>
    </row>
    <row r="16" spans="1:35" x14ac:dyDescent="0.2">
      <c r="L16" s="6" t="s">
        <v>491</v>
      </c>
      <c r="R16" s="62" t="s">
        <v>1686</v>
      </c>
      <c r="T16" s="62" t="s">
        <v>1745</v>
      </c>
      <c r="U16" s="62" t="s">
        <v>1685</v>
      </c>
      <c r="Z16" s="26" t="s">
        <v>1400</v>
      </c>
      <c r="AA16" s="6" t="s">
        <v>155</v>
      </c>
      <c r="AB16" s="6" t="s">
        <v>244</v>
      </c>
      <c r="AC16" s="6" t="s">
        <v>257</v>
      </c>
      <c r="AD16" s="6" t="b">
        <v>0</v>
      </c>
      <c r="AE16" s="6">
        <f>IF(ISNUMBER(SEARCH(t_activities[[#This Row],[activities]],Form!$B$74)),t_activities[[#This Row],[show_years]],0)</f>
        <v>0</v>
      </c>
    </row>
    <row r="17" spans="12:31" x14ac:dyDescent="0.2">
      <c r="L17" s="6" t="s">
        <v>492</v>
      </c>
      <c r="R17" s="62" t="s">
        <v>1687</v>
      </c>
      <c r="T17" s="62" t="s">
        <v>1746</v>
      </c>
      <c r="U17" s="62" t="s">
        <v>1686</v>
      </c>
      <c r="Z17" s="26" t="s">
        <v>1401</v>
      </c>
      <c r="AA17" s="6" t="s">
        <v>156</v>
      </c>
      <c r="AB17" s="6" t="s">
        <v>245</v>
      </c>
      <c r="AC17" s="6" t="s">
        <v>258</v>
      </c>
      <c r="AD17" s="6" t="b">
        <v>0</v>
      </c>
      <c r="AE17" s="6">
        <f>IF(ISNUMBER(SEARCH(t_activities[[#This Row],[activities]],Form!$B$74)),t_activities[[#This Row],[show_years]],0)</f>
        <v>0</v>
      </c>
    </row>
    <row r="18" spans="12:31" x14ac:dyDescent="0.2">
      <c r="L18" s="6" t="s">
        <v>493</v>
      </c>
      <c r="R18" s="62" t="s">
        <v>1688</v>
      </c>
      <c r="T18" s="62" t="s">
        <v>1747</v>
      </c>
      <c r="U18" s="62" t="s">
        <v>1687</v>
      </c>
      <c r="Z18" s="26" t="s">
        <v>1402</v>
      </c>
      <c r="AA18" s="6" t="s">
        <v>157</v>
      </c>
      <c r="AB18" s="6" t="s">
        <v>246</v>
      </c>
      <c r="AC18" s="6" t="s">
        <v>259</v>
      </c>
      <c r="AD18" s="6" t="b">
        <v>0</v>
      </c>
      <c r="AE18" s="6">
        <f>IF(ISNUMBER(SEARCH(t_activities[[#This Row],[activities]],Form!$B$74)),t_activities[[#This Row],[show_years]],0)</f>
        <v>0</v>
      </c>
    </row>
    <row r="19" spans="12:31" x14ac:dyDescent="0.2">
      <c r="L19" s="6" t="s">
        <v>494</v>
      </c>
      <c r="R19" s="62" t="s">
        <v>1689</v>
      </c>
      <c r="T19" s="62" t="s">
        <v>1748</v>
      </c>
      <c r="U19" s="62" t="s">
        <v>1688</v>
      </c>
      <c r="Z19" s="26" t="s">
        <v>1403</v>
      </c>
      <c r="AA19" s="6" t="s">
        <v>158</v>
      </c>
      <c r="AB19" s="6" t="s">
        <v>247</v>
      </c>
      <c r="AC19" s="6" t="s">
        <v>260</v>
      </c>
      <c r="AD19" s="6" t="b">
        <v>1</v>
      </c>
      <c r="AE19" s="6">
        <f>IF(ISNUMBER(SEARCH(t_activities[[#This Row],[activities]],Form!$B$74)),t_activities[[#This Row],[show_years]],0)</f>
        <v>0</v>
      </c>
    </row>
    <row r="20" spans="12:31" x14ac:dyDescent="0.2">
      <c r="L20" s="6" t="s">
        <v>495</v>
      </c>
      <c r="R20" s="62" t="s">
        <v>1690</v>
      </c>
      <c r="T20" s="62" t="s">
        <v>1749</v>
      </c>
      <c r="U20" s="62" t="s">
        <v>1689</v>
      </c>
      <c r="Z20" s="26" t="s">
        <v>1404</v>
      </c>
      <c r="AA20" s="6" t="s">
        <v>159</v>
      </c>
      <c r="AB20" s="6" t="s">
        <v>248</v>
      </c>
      <c r="AC20" s="6" t="s">
        <v>261</v>
      </c>
      <c r="AD20" s="6" t="b">
        <v>0</v>
      </c>
      <c r="AE20" s="6">
        <f>IF(ISNUMBER(SEARCH(t_activities[[#This Row],[activities]],Form!$B$74)),t_activities[[#This Row],[show_years]],0)</f>
        <v>0</v>
      </c>
    </row>
    <row r="21" spans="12:31" x14ac:dyDescent="0.2">
      <c r="L21" s="6" t="s">
        <v>496</v>
      </c>
      <c r="R21" s="62" t="s">
        <v>1691</v>
      </c>
      <c r="T21" s="62" t="s">
        <v>1750</v>
      </c>
      <c r="U21" s="62" t="s">
        <v>1690</v>
      </c>
      <c r="Z21" s="26" t="s">
        <v>1405</v>
      </c>
      <c r="AA21" s="6" t="s">
        <v>160</v>
      </c>
      <c r="AC21" s="6" t="s">
        <v>262</v>
      </c>
      <c r="AD21" s="6" t="b">
        <v>0</v>
      </c>
      <c r="AE21" s="6">
        <f>IF(ISNUMBER(SEARCH(t_activities[[#This Row],[activities]],Form!$B$74)),t_activities[[#This Row],[show_years]],0)</f>
        <v>0</v>
      </c>
    </row>
    <row r="22" spans="12:31" x14ac:dyDescent="0.2">
      <c r="L22" s="6" t="s">
        <v>358</v>
      </c>
      <c r="R22" s="62" t="s">
        <v>1692</v>
      </c>
      <c r="T22" s="62" t="s">
        <v>1751</v>
      </c>
      <c r="U22" s="62" t="s">
        <v>1691</v>
      </c>
      <c r="Z22" s="26" t="s">
        <v>1406</v>
      </c>
      <c r="AA22" s="6" t="s">
        <v>161</v>
      </c>
      <c r="AC22" s="6" t="s">
        <v>263</v>
      </c>
      <c r="AD22" s="6" t="b">
        <v>1</v>
      </c>
      <c r="AE22" s="6">
        <f>IF(ISNUMBER(SEARCH(t_activities[[#This Row],[activities]],Form!$B$74)),t_activities[[#This Row],[show_years]],0)</f>
        <v>0</v>
      </c>
    </row>
    <row r="23" spans="12:31" x14ac:dyDescent="0.2">
      <c r="L23" s="6" t="s">
        <v>497</v>
      </c>
      <c r="R23" s="62" t="s">
        <v>1693</v>
      </c>
      <c r="T23" s="62" t="s">
        <v>1752</v>
      </c>
      <c r="U23" s="62" t="s">
        <v>1692</v>
      </c>
      <c r="Z23" s="26" t="s">
        <v>1407</v>
      </c>
      <c r="AA23" s="6" t="s">
        <v>162</v>
      </c>
      <c r="AC23" s="6" t="s">
        <v>264</v>
      </c>
      <c r="AD23" s="6" t="b">
        <v>0</v>
      </c>
      <c r="AE23" s="6">
        <f>IF(ISNUMBER(SEARCH(t_activities[[#This Row],[activities]],Form!$B$74)),t_activities[[#This Row],[show_years]],0)</f>
        <v>0</v>
      </c>
    </row>
    <row r="24" spans="12:31" x14ac:dyDescent="0.2">
      <c r="L24" s="6" t="s">
        <v>498</v>
      </c>
      <c r="R24" s="62" t="s">
        <v>1694</v>
      </c>
      <c r="T24" s="62" t="s">
        <v>1753</v>
      </c>
      <c r="U24" s="62" t="s">
        <v>1693</v>
      </c>
      <c r="Z24" s="26" t="s">
        <v>1408</v>
      </c>
      <c r="AA24" s="6" t="s">
        <v>163</v>
      </c>
      <c r="AC24" s="6" t="s">
        <v>265</v>
      </c>
      <c r="AD24" s="6" t="b">
        <v>0</v>
      </c>
      <c r="AE24" s="6">
        <f>IF(ISNUMBER(SEARCH(t_activities[[#This Row],[activities]],Form!$B$74)),t_activities[[#This Row],[show_years]],0)</f>
        <v>0</v>
      </c>
    </row>
    <row r="25" spans="12:31" x14ac:dyDescent="0.2">
      <c r="L25" s="6" t="s">
        <v>499</v>
      </c>
      <c r="R25" s="62" t="s">
        <v>1695</v>
      </c>
      <c r="T25" s="62" t="s">
        <v>1754</v>
      </c>
      <c r="U25" s="62" t="s">
        <v>1694</v>
      </c>
      <c r="Z25" s="26" t="s">
        <v>1409</v>
      </c>
      <c r="AA25" s="6" t="s">
        <v>164</v>
      </c>
      <c r="AC25" s="6" t="s">
        <v>266</v>
      </c>
      <c r="AD25" s="6" t="b">
        <v>0</v>
      </c>
      <c r="AE25" s="6">
        <f>IF(ISNUMBER(SEARCH(t_activities[[#This Row],[activities]],Form!$B$74)),t_activities[[#This Row],[show_years]],0)</f>
        <v>0</v>
      </c>
    </row>
    <row r="26" spans="12:31" x14ac:dyDescent="0.2">
      <c r="L26" s="6" t="s">
        <v>500</v>
      </c>
      <c r="R26" s="62" t="s">
        <v>1696</v>
      </c>
      <c r="T26" s="62" t="s">
        <v>1755</v>
      </c>
      <c r="U26" s="62" t="s">
        <v>1695</v>
      </c>
      <c r="Z26" s="26" t="s">
        <v>1410</v>
      </c>
      <c r="AA26" s="6" t="s">
        <v>165</v>
      </c>
      <c r="AC26" s="6" t="s">
        <v>267</v>
      </c>
      <c r="AD26" s="6" t="b">
        <v>0</v>
      </c>
      <c r="AE26" s="6">
        <f>IF(ISNUMBER(SEARCH(t_activities[[#This Row],[activities]],Form!$B$74)),t_activities[[#This Row],[show_years]],0)</f>
        <v>0</v>
      </c>
    </row>
    <row r="27" spans="12:31" x14ac:dyDescent="0.2">
      <c r="L27" s="6" t="s">
        <v>501</v>
      </c>
      <c r="R27" s="62" t="s">
        <v>1697</v>
      </c>
      <c r="T27" s="62" t="s">
        <v>1756</v>
      </c>
      <c r="U27" s="62" t="s">
        <v>1696</v>
      </c>
      <c r="Z27" s="26" t="s">
        <v>1411</v>
      </c>
      <c r="AA27" s="6" t="s">
        <v>166</v>
      </c>
      <c r="AC27" s="6" t="s">
        <v>268</v>
      </c>
      <c r="AD27" s="6" t="b">
        <v>0</v>
      </c>
      <c r="AE27" s="6">
        <f>IF(ISNUMBER(SEARCH(t_activities[[#This Row],[activities]],Form!$B$74)),t_activities[[#This Row],[show_years]],0)</f>
        <v>0</v>
      </c>
    </row>
    <row r="28" spans="12:31" x14ac:dyDescent="0.2">
      <c r="L28" s="6" t="s">
        <v>502</v>
      </c>
      <c r="R28" s="62" t="s">
        <v>1698</v>
      </c>
      <c r="T28" s="62" t="s">
        <v>1757</v>
      </c>
      <c r="U28" s="62" t="s">
        <v>1697</v>
      </c>
      <c r="Z28" s="26" t="s">
        <v>1412</v>
      </c>
      <c r="AA28" s="6" t="s">
        <v>167</v>
      </c>
      <c r="AC28" s="6" t="s">
        <v>269</v>
      </c>
      <c r="AD28" s="6" t="b">
        <v>0</v>
      </c>
      <c r="AE28" s="6">
        <f>IF(ISNUMBER(SEARCH(t_activities[[#This Row],[activities]],Form!$B$74)),t_activities[[#This Row],[show_years]],0)</f>
        <v>0</v>
      </c>
    </row>
    <row r="29" spans="12:31" x14ac:dyDescent="0.2">
      <c r="L29" s="6" t="s">
        <v>503</v>
      </c>
      <c r="R29" s="62" t="s">
        <v>1699</v>
      </c>
      <c r="T29" s="62" t="s">
        <v>1758</v>
      </c>
      <c r="U29" s="62" t="s">
        <v>1698</v>
      </c>
      <c r="Z29" s="26" t="s">
        <v>1413</v>
      </c>
      <c r="AA29" s="6" t="s">
        <v>168</v>
      </c>
      <c r="AC29" s="6" t="s">
        <v>270</v>
      </c>
      <c r="AD29" s="6" t="b">
        <v>0</v>
      </c>
      <c r="AE29" s="6">
        <f>IF(ISNUMBER(SEARCH(t_activities[[#This Row],[activities]],Form!$B$74)),t_activities[[#This Row],[show_years]],0)</f>
        <v>0</v>
      </c>
    </row>
    <row r="30" spans="12:31" x14ac:dyDescent="0.2">
      <c r="L30" s="6" t="s">
        <v>504</v>
      </c>
      <c r="R30" s="62" t="s">
        <v>1700</v>
      </c>
      <c r="T30" s="62" t="s">
        <v>1759</v>
      </c>
      <c r="U30" s="62" t="s">
        <v>1699</v>
      </c>
      <c r="Z30" s="26" t="s">
        <v>1414</v>
      </c>
      <c r="AA30" s="6" t="s">
        <v>169</v>
      </c>
      <c r="AC30" s="6" t="s">
        <v>271</v>
      </c>
      <c r="AD30" s="6" t="b">
        <v>0</v>
      </c>
      <c r="AE30" s="6">
        <f>IF(ISNUMBER(SEARCH(t_activities[[#This Row],[activities]],Form!$B$74)),t_activities[[#This Row],[show_years]],0)</f>
        <v>0</v>
      </c>
    </row>
    <row r="31" spans="12:31" x14ac:dyDescent="0.2">
      <c r="L31" s="6" t="s">
        <v>505</v>
      </c>
      <c r="R31" s="62" t="s">
        <v>1701</v>
      </c>
      <c r="T31" s="62" t="s">
        <v>1760</v>
      </c>
      <c r="U31" s="62" t="s">
        <v>1700</v>
      </c>
      <c r="Z31" s="26" t="s">
        <v>1415</v>
      </c>
      <c r="AA31" s="6" t="s">
        <v>170</v>
      </c>
      <c r="AC31" s="6" t="s">
        <v>272</v>
      </c>
      <c r="AD31" s="6" t="b">
        <v>0</v>
      </c>
      <c r="AE31" s="6">
        <f>IF(ISNUMBER(SEARCH(t_activities[[#This Row],[activities]],Form!$B$74)),t_activities[[#This Row],[show_years]],0)</f>
        <v>0</v>
      </c>
    </row>
    <row r="32" spans="12:31" x14ac:dyDescent="0.2">
      <c r="L32" s="6" t="s">
        <v>506</v>
      </c>
      <c r="R32" s="62" t="s">
        <v>1702</v>
      </c>
      <c r="T32" s="62" t="s">
        <v>1761</v>
      </c>
      <c r="U32" s="62" t="s">
        <v>1701</v>
      </c>
      <c r="Z32" s="26" t="s">
        <v>1416</v>
      </c>
      <c r="AA32" s="6" t="s">
        <v>171</v>
      </c>
      <c r="AC32" s="6" t="s">
        <v>273</v>
      </c>
      <c r="AD32" s="6" t="b">
        <v>0</v>
      </c>
      <c r="AE32" s="6">
        <f>IF(ISNUMBER(SEARCH(t_activities[[#This Row],[activities]],Form!$B$74)),t_activities[[#This Row],[show_years]],0)</f>
        <v>0</v>
      </c>
    </row>
    <row r="33" spans="12:31" x14ac:dyDescent="0.2">
      <c r="L33" s="6" t="s">
        <v>507</v>
      </c>
      <c r="T33" s="62" t="s">
        <v>1762</v>
      </c>
      <c r="U33" s="62" t="s">
        <v>1702</v>
      </c>
      <c r="Z33" s="26" t="s">
        <v>1417</v>
      </c>
      <c r="AA33" s="6" t="s">
        <v>172</v>
      </c>
      <c r="AC33" s="6" t="s">
        <v>274</v>
      </c>
      <c r="AD33" s="6" t="b">
        <v>0</v>
      </c>
      <c r="AE33" s="6">
        <f>IF(ISNUMBER(SEARCH(t_activities[[#This Row],[activities]],Form!$B$74)),t_activities[[#This Row],[show_years]],0)</f>
        <v>0</v>
      </c>
    </row>
    <row r="34" spans="12:31" x14ac:dyDescent="0.2">
      <c r="L34" s="6" t="s">
        <v>508</v>
      </c>
      <c r="T34" s="62" t="s">
        <v>1763</v>
      </c>
      <c r="U34" s="62" t="s">
        <v>1703</v>
      </c>
      <c r="Z34" s="26" t="s">
        <v>1418</v>
      </c>
      <c r="AA34" s="6" t="s">
        <v>173</v>
      </c>
      <c r="AC34" s="6" t="s">
        <v>275</v>
      </c>
      <c r="AD34" s="6" t="b">
        <v>0</v>
      </c>
      <c r="AE34" s="6">
        <f>IF(ISNUMBER(SEARCH(t_activities[[#This Row],[activities]],Form!$B$74)),t_activities[[#This Row],[show_years]],0)</f>
        <v>0</v>
      </c>
    </row>
    <row r="35" spans="12:31" x14ac:dyDescent="0.2">
      <c r="L35" s="6" t="s">
        <v>509</v>
      </c>
      <c r="T35" s="62" t="s">
        <v>1764</v>
      </c>
      <c r="U35" s="62" t="s">
        <v>1704</v>
      </c>
      <c r="Z35" s="26" t="s">
        <v>1419</v>
      </c>
      <c r="AA35" s="6" t="s">
        <v>174</v>
      </c>
      <c r="AC35" s="6" t="s">
        <v>276</v>
      </c>
      <c r="AD35" s="6" t="b">
        <v>0</v>
      </c>
      <c r="AE35" s="6">
        <f>IF(ISNUMBER(SEARCH(t_activities[[#This Row],[activities]],Form!$B$74)),t_activities[[#This Row],[show_years]],0)</f>
        <v>0</v>
      </c>
    </row>
    <row r="36" spans="12:31" x14ac:dyDescent="0.2">
      <c r="L36" s="6" t="s">
        <v>510</v>
      </c>
      <c r="T36" s="62" t="s">
        <v>1765</v>
      </c>
      <c r="U36" s="62" t="s">
        <v>1705</v>
      </c>
      <c r="Z36" s="26" t="s">
        <v>1420</v>
      </c>
      <c r="AA36" s="6" t="s">
        <v>175</v>
      </c>
      <c r="AC36" s="6" t="s">
        <v>277</v>
      </c>
      <c r="AD36" s="6" t="b">
        <v>0</v>
      </c>
      <c r="AE36" s="6">
        <f>IF(ISNUMBER(SEARCH(t_activities[[#This Row],[activities]],Form!$B$74)),t_activities[[#This Row],[show_years]],0)</f>
        <v>0</v>
      </c>
    </row>
    <row r="37" spans="12:31" x14ac:dyDescent="0.2">
      <c r="L37" s="6" t="s">
        <v>511</v>
      </c>
      <c r="T37" s="62" t="s">
        <v>1766</v>
      </c>
      <c r="U37" s="62" t="s">
        <v>1706</v>
      </c>
      <c r="Z37" s="26" t="s">
        <v>1421</v>
      </c>
      <c r="AA37" s="6" t="s">
        <v>176</v>
      </c>
      <c r="AC37" s="6" t="s">
        <v>278</v>
      </c>
      <c r="AD37" s="6" t="b">
        <v>0</v>
      </c>
      <c r="AE37" s="6">
        <f>IF(ISNUMBER(SEARCH(t_activities[[#This Row],[activities]],Form!$B$74)),t_activities[[#This Row],[show_years]],0)</f>
        <v>0</v>
      </c>
    </row>
    <row r="38" spans="12:31" x14ac:dyDescent="0.2">
      <c r="L38" s="6" t="s">
        <v>512</v>
      </c>
      <c r="T38" s="62" t="s">
        <v>1767</v>
      </c>
      <c r="U38" s="62" t="s">
        <v>1707</v>
      </c>
      <c r="Z38" s="26" t="s">
        <v>1422</v>
      </c>
      <c r="AA38" s="6" t="s">
        <v>177</v>
      </c>
      <c r="AC38" s="6" t="s">
        <v>279</v>
      </c>
      <c r="AD38" s="6" t="b">
        <v>0</v>
      </c>
      <c r="AE38" s="6">
        <f>IF(ISNUMBER(SEARCH(t_activities[[#This Row],[activities]],Form!$B$74)),t_activities[[#This Row],[show_years]],0)</f>
        <v>0</v>
      </c>
    </row>
    <row r="39" spans="12:31" x14ac:dyDescent="0.2">
      <c r="L39" s="6" t="s">
        <v>513</v>
      </c>
      <c r="T39" s="62" t="s">
        <v>1768</v>
      </c>
      <c r="U39" s="62" t="s">
        <v>1708</v>
      </c>
      <c r="Z39" s="26" t="s">
        <v>1423</v>
      </c>
      <c r="AA39" s="6" t="s">
        <v>178</v>
      </c>
      <c r="AC39" s="6" t="s">
        <v>280</v>
      </c>
      <c r="AD39" s="6" t="b">
        <v>0</v>
      </c>
      <c r="AE39" s="6">
        <f>IF(ISNUMBER(SEARCH(t_activities[[#This Row],[activities]],Form!$B$74)),t_activities[[#This Row],[show_years]],0)</f>
        <v>0</v>
      </c>
    </row>
    <row r="40" spans="12:31" x14ac:dyDescent="0.2">
      <c r="L40" s="6" t="s">
        <v>514</v>
      </c>
      <c r="T40" s="62" t="s">
        <v>1769</v>
      </c>
      <c r="U40" s="62" t="s">
        <v>1709</v>
      </c>
      <c r="Z40" s="26" t="s">
        <v>1424</v>
      </c>
      <c r="AA40" s="6" t="s">
        <v>179</v>
      </c>
      <c r="AC40" s="6" t="s">
        <v>281</v>
      </c>
      <c r="AD40" s="6" t="b">
        <v>0</v>
      </c>
      <c r="AE40" s="6">
        <f>IF(ISNUMBER(SEARCH(t_activities[[#This Row],[activities]],Form!$B$74)),t_activities[[#This Row],[show_years]],0)</f>
        <v>0</v>
      </c>
    </row>
    <row r="41" spans="12:31" x14ac:dyDescent="0.2">
      <c r="L41" s="6" t="s">
        <v>515</v>
      </c>
      <c r="T41" s="62" t="s">
        <v>1770</v>
      </c>
      <c r="U41" s="62" t="s">
        <v>1710</v>
      </c>
      <c r="Z41" s="26" t="s">
        <v>1425</v>
      </c>
      <c r="AA41" s="6" t="s">
        <v>180</v>
      </c>
      <c r="AC41" s="6" t="s">
        <v>282</v>
      </c>
      <c r="AD41" s="6" t="b">
        <v>0</v>
      </c>
      <c r="AE41" s="6">
        <f>IF(ISNUMBER(SEARCH(t_activities[[#This Row],[activities]],Form!$B$74)),t_activities[[#This Row],[show_years]],0)</f>
        <v>0</v>
      </c>
    </row>
    <row r="42" spans="12:31" x14ac:dyDescent="0.2">
      <c r="L42" s="6" t="s">
        <v>516</v>
      </c>
      <c r="T42" s="62" t="s">
        <v>1771</v>
      </c>
      <c r="U42" s="62" t="s">
        <v>1711</v>
      </c>
      <c r="Z42" s="26" t="s">
        <v>1426</v>
      </c>
      <c r="AA42" s="6" t="s">
        <v>181</v>
      </c>
      <c r="AC42" s="6" t="s">
        <v>283</v>
      </c>
      <c r="AD42" s="6" t="b">
        <v>0</v>
      </c>
      <c r="AE42" s="6">
        <f>IF(ISNUMBER(SEARCH(t_activities[[#This Row],[activities]],Form!$B$74)),t_activities[[#This Row],[show_years]],0)</f>
        <v>0</v>
      </c>
    </row>
    <row r="43" spans="12:31" x14ac:dyDescent="0.2">
      <c r="L43" s="6" t="s">
        <v>517</v>
      </c>
      <c r="T43" s="62" t="s">
        <v>1772</v>
      </c>
      <c r="U43" s="62" t="s">
        <v>1712</v>
      </c>
      <c r="Z43" s="26" t="s">
        <v>1427</v>
      </c>
      <c r="AA43" s="6" t="s">
        <v>182</v>
      </c>
      <c r="AC43" s="6" t="s">
        <v>284</v>
      </c>
      <c r="AD43" s="6" t="b">
        <v>0</v>
      </c>
      <c r="AE43" s="6">
        <f>IF(ISNUMBER(SEARCH(t_activities[[#This Row],[activities]],Form!$B$74)),t_activities[[#This Row],[show_years]],0)</f>
        <v>0</v>
      </c>
    </row>
    <row r="44" spans="12:31" x14ac:dyDescent="0.2">
      <c r="L44" s="6" t="s">
        <v>518</v>
      </c>
      <c r="T44" s="62" t="s">
        <v>1773</v>
      </c>
      <c r="U44" s="62" t="s">
        <v>1713</v>
      </c>
      <c r="Z44" s="26" t="s">
        <v>1428</v>
      </c>
      <c r="AA44" s="6" t="s">
        <v>183</v>
      </c>
      <c r="AC44" s="6" t="s">
        <v>285</v>
      </c>
      <c r="AD44" s="6" t="b">
        <v>0</v>
      </c>
      <c r="AE44" s="6">
        <f>IF(ISNUMBER(SEARCH(t_activities[[#This Row],[activities]],Form!$B$74)),t_activities[[#This Row],[show_years]],0)</f>
        <v>0</v>
      </c>
    </row>
    <row r="45" spans="12:31" x14ac:dyDescent="0.2">
      <c r="L45" s="6" t="s">
        <v>519</v>
      </c>
      <c r="T45" s="62" t="s">
        <v>1774</v>
      </c>
      <c r="U45" s="62" t="s">
        <v>1714</v>
      </c>
      <c r="Z45" s="26" t="s">
        <v>1429</v>
      </c>
      <c r="AA45" s="6" t="s">
        <v>184</v>
      </c>
      <c r="AC45" s="6" t="s">
        <v>286</v>
      </c>
      <c r="AD45" s="6" t="b">
        <v>0</v>
      </c>
      <c r="AE45" s="6">
        <f>IF(ISNUMBER(SEARCH(t_activities[[#This Row],[activities]],Form!$B$74)),t_activities[[#This Row],[show_years]],0)</f>
        <v>0</v>
      </c>
    </row>
    <row r="46" spans="12:31" x14ac:dyDescent="0.2">
      <c r="L46" s="6" t="s">
        <v>359</v>
      </c>
      <c r="T46" s="62" t="s">
        <v>1775</v>
      </c>
      <c r="U46" s="62" t="s">
        <v>1715</v>
      </c>
      <c r="Z46" s="26" t="s">
        <v>1430</v>
      </c>
      <c r="AA46" s="6" t="s">
        <v>185</v>
      </c>
      <c r="AC46" s="6" t="s">
        <v>287</v>
      </c>
      <c r="AD46" s="6" t="b">
        <v>1</v>
      </c>
      <c r="AE46" s="6">
        <f>IF(ISNUMBER(SEARCH(t_activities[[#This Row],[activities]],Form!$B$74)),t_activities[[#This Row],[show_years]],0)</f>
        <v>0</v>
      </c>
    </row>
    <row r="47" spans="12:31" x14ac:dyDescent="0.2">
      <c r="L47" s="6" t="s">
        <v>520</v>
      </c>
      <c r="T47" s="62" t="s">
        <v>1776</v>
      </c>
      <c r="U47" s="62" t="s">
        <v>1716</v>
      </c>
      <c r="Z47" s="26" t="s">
        <v>1431</v>
      </c>
      <c r="AA47" s="6" t="s">
        <v>186</v>
      </c>
      <c r="AC47" s="6" t="s">
        <v>288</v>
      </c>
      <c r="AD47" s="6" t="b">
        <v>0</v>
      </c>
      <c r="AE47" s="6">
        <f>IF(ISNUMBER(SEARCH(t_activities[[#This Row],[activities]],Form!$B$74)),t_activities[[#This Row],[show_years]],0)</f>
        <v>0</v>
      </c>
    </row>
    <row r="48" spans="12:31" x14ac:dyDescent="0.2">
      <c r="L48" s="6" t="s">
        <v>521</v>
      </c>
      <c r="T48" s="62" t="s">
        <v>1777</v>
      </c>
      <c r="U48" s="62" t="s">
        <v>1717</v>
      </c>
      <c r="Z48" s="26" t="s">
        <v>1432</v>
      </c>
      <c r="AA48" s="6" t="s">
        <v>187</v>
      </c>
      <c r="AC48" s="6" t="s">
        <v>289</v>
      </c>
      <c r="AD48" s="6" t="b">
        <v>0</v>
      </c>
      <c r="AE48" s="6">
        <f>IF(ISNUMBER(SEARCH(t_activities[[#This Row],[activities]],Form!$B$74)),t_activities[[#This Row],[show_years]],0)</f>
        <v>0</v>
      </c>
    </row>
    <row r="49" spans="12:31" x14ac:dyDescent="0.2">
      <c r="L49" s="6" t="s">
        <v>522</v>
      </c>
      <c r="T49" s="62" t="s">
        <v>1778</v>
      </c>
      <c r="U49" s="62" t="s">
        <v>1718</v>
      </c>
      <c r="Z49" s="26" t="s">
        <v>1433</v>
      </c>
      <c r="AA49" s="6" t="s">
        <v>188</v>
      </c>
      <c r="AC49" s="6" t="s">
        <v>290</v>
      </c>
      <c r="AD49" s="6" t="b">
        <v>0</v>
      </c>
      <c r="AE49" s="6">
        <f>IF(ISNUMBER(SEARCH(t_activities[[#This Row],[activities]],Form!$B$74)),t_activities[[#This Row],[show_years]],0)</f>
        <v>0</v>
      </c>
    </row>
    <row r="50" spans="12:31" x14ac:dyDescent="0.2">
      <c r="L50" s="6" t="s">
        <v>523</v>
      </c>
      <c r="T50" s="62" t="s">
        <v>1779</v>
      </c>
      <c r="U50" s="62" t="s">
        <v>1719</v>
      </c>
      <c r="Z50" s="26" t="s">
        <v>1434</v>
      </c>
      <c r="AA50" s="6" t="s">
        <v>189</v>
      </c>
      <c r="AC50" s="6" t="s">
        <v>291</v>
      </c>
      <c r="AD50" s="6" t="b">
        <v>0</v>
      </c>
      <c r="AE50" s="6">
        <f>IF(ISNUMBER(SEARCH(t_activities[[#This Row],[activities]],Form!$B$74)),t_activities[[#This Row],[show_years]],0)</f>
        <v>0</v>
      </c>
    </row>
    <row r="51" spans="12:31" x14ac:dyDescent="0.2">
      <c r="L51" s="6" t="s">
        <v>524</v>
      </c>
      <c r="T51" s="62" t="s">
        <v>1780</v>
      </c>
      <c r="U51" s="62" t="s">
        <v>1720</v>
      </c>
      <c r="Z51" s="26" t="s">
        <v>1435</v>
      </c>
      <c r="AA51" s="6" t="s">
        <v>190</v>
      </c>
      <c r="AC51" s="6" t="s">
        <v>292</v>
      </c>
      <c r="AD51" s="6" t="b">
        <v>0</v>
      </c>
      <c r="AE51" s="6">
        <f>IF(ISNUMBER(SEARCH(t_activities[[#This Row],[activities]],Form!$B$74)),t_activities[[#This Row],[show_years]],0)</f>
        <v>0</v>
      </c>
    </row>
    <row r="52" spans="12:31" x14ac:dyDescent="0.2">
      <c r="L52" s="6" t="s">
        <v>360</v>
      </c>
      <c r="T52" s="62" t="s">
        <v>1781</v>
      </c>
      <c r="U52" s="62" t="s">
        <v>1721</v>
      </c>
      <c r="Z52" s="26" t="s">
        <v>1436</v>
      </c>
      <c r="AA52" s="6" t="s">
        <v>191</v>
      </c>
      <c r="AC52" s="6" t="s">
        <v>293</v>
      </c>
      <c r="AD52" s="6" t="b">
        <v>1</v>
      </c>
      <c r="AE52" s="6">
        <f>IF(ISNUMBER(SEARCH(t_activities[[#This Row],[activities]],Form!$B$74)),t_activities[[#This Row],[show_years]],0)</f>
        <v>0</v>
      </c>
    </row>
    <row r="53" spans="12:31" x14ac:dyDescent="0.2">
      <c r="L53" s="6" t="s">
        <v>525</v>
      </c>
      <c r="T53" s="62" t="s">
        <v>1782</v>
      </c>
      <c r="U53" s="62" t="s">
        <v>1722</v>
      </c>
      <c r="Z53" s="26" t="s">
        <v>1437</v>
      </c>
      <c r="AA53" s="6" t="s">
        <v>192</v>
      </c>
      <c r="AC53" s="6" t="s">
        <v>294</v>
      </c>
      <c r="AD53" s="6" t="b">
        <v>1</v>
      </c>
      <c r="AE53" s="6">
        <f>IF(ISNUMBER(SEARCH(t_activities[[#This Row],[activities]],Form!$B$74)),t_activities[[#This Row],[show_years]],0)</f>
        <v>0</v>
      </c>
    </row>
    <row r="54" spans="12:31" x14ac:dyDescent="0.2">
      <c r="L54" s="6" t="s">
        <v>526</v>
      </c>
      <c r="T54" s="62" t="s">
        <v>1783</v>
      </c>
      <c r="U54" s="62" t="s">
        <v>1723</v>
      </c>
      <c r="Z54" s="26" t="s">
        <v>1438</v>
      </c>
      <c r="AA54" s="6" t="s">
        <v>193</v>
      </c>
      <c r="AC54" s="6" t="s">
        <v>295</v>
      </c>
      <c r="AD54" s="6" t="b">
        <v>0</v>
      </c>
      <c r="AE54" s="6">
        <f>IF(ISNUMBER(SEARCH(t_activities[[#This Row],[activities]],Form!$B$74)),t_activities[[#This Row],[show_years]],0)</f>
        <v>0</v>
      </c>
    </row>
    <row r="55" spans="12:31" x14ac:dyDescent="0.2">
      <c r="L55" s="6" t="s">
        <v>527</v>
      </c>
      <c r="T55" s="62" t="s">
        <v>1784</v>
      </c>
      <c r="U55" s="62" t="s">
        <v>1724</v>
      </c>
      <c r="Z55" s="26" t="s">
        <v>1439</v>
      </c>
      <c r="AA55" s="6" t="s">
        <v>194</v>
      </c>
      <c r="AC55" s="6" t="s">
        <v>296</v>
      </c>
      <c r="AD55" s="6" t="b">
        <v>0</v>
      </c>
      <c r="AE55" s="6">
        <f>IF(ISNUMBER(SEARCH(t_activities[[#This Row],[activities]],Form!$B$74)),t_activities[[#This Row],[show_years]],0)</f>
        <v>0</v>
      </c>
    </row>
    <row r="56" spans="12:31" x14ac:dyDescent="0.2">
      <c r="L56" s="6" t="s">
        <v>528</v>
      </c>
      <c r="T56" s="62" t="s">
        <v>1785</v>
      </c>
      <c r="U56" s="62" t="s">
        <v>1725</v>
      </c>
      <c r="Z56" s="26" t="s">
        <v>1440</v>
      </c>
      <c r="AA56" s="6" t="s">
        <v>195</v>
      </c>
      <c r="AC56" s="6" t="s">
        <v>297</v>
      </c>
      <c r="AD56" s="6" t="b">
        <v>0</v>
      </c>
      <c r="AE56" s="6">
        <f>IF(ISNUMBER(SEARCH(t_activities[[#This Row],[activities]],Form!$B$74)),t_activities[[#This Row],[show_years]],0)</f>
        <v>0</v>
      </c>
    </row>
    <row r="57" spans="12:31" x14ac:dyDescent="0.2">
      <c r="L57" s="6" t="s">
        <v>361</v>
      </c>
      <c r="T57" s="62" t="s">
        <v>1786</v>
      </c>
      <c r="U57" s="62" t="s">
        <v>1726</v>
      </c>
      <c r="Z57" s="26" t="s">
        <v>1441</v>
      </c>
      <c r="AA57" s="6" t="s">
        <v>196</v>
      </c>
      <c r="AC57" s="6" t="s">
        <v>298</v>
      </c>
      <c r="AD57" s="6" t="b">
        <v>0</v>
      </c>
      <c r="AE57" s="6">
        <f>IF(ISNUMBER(SEARCH(t_activities[[#This Row],[activities]],Form!$B$74)),t_activities[[#This Row],[show_years]],0)</f>
        <v>0</v>
      </c>
    </row>
    <row r="58" spans="12:31" x14ac:dyDescent="0.2">
      <c r="L58" s="6" t="s">
        <v>529</v>
      </c>
      <c r="T58" s="62" t="s">
        <v>1787</v>
      </c>
      <c r="U58" s="62" t="s">
        <v>1727</v>
      </c>
      <c r="Z58" s="26" t="s">
        <v>1442</v>
      </c>
      <c r="AA58" s="6" t="s">
        <v>197</v>
      </c>
      <c r="AC58" s="6" t="s">
        <v>299</v>
      </c>
      <c r="AD58" s="6" t="b">
        <v>0</v>
      </c>
      <c r="AE58" s="6">
        <f>IF(ISNUMBER(SEARCH(t_activities[[#This Row],[activities]],Form!$B$74)),t_activities[[#This Row],[show_years]],0)</f>
        <v>0</v>
      </c>
    </row>
    <row r="59" spans="12:31" x14ac:dyDescent="0.2">
      <c r="L59" s="6" t="s">
        <v>530</v>
      </c>
      <c r="T59" s="62" t="s">
        <v>1788</v>
      </c>
      <c r="U59" s="62" t="s">
        <v>1728</v>
      </c>
      <c r="Z59" s="26" t="s">
        <v>1443</v>
      </c>
      <c r="AA59" s="6" t="s">
        <v>198</v>
      </c>
      <c r="AC59" s="6" t="s">
        <v>300</v>
      </c>
      <c r="AD59" s="6" t="b">
        <v>0</v>
      </c>
      <c r="AE59" s="6">
        <f>IF(ISNUMBER(SEARCH(t_activities[[#This Row],[activities]],Form!$B$74)),t_activities[[#This Row],[show_years]],0)</f>
        <v>0</v>
      </c>
    </row>
    <row r="60" spans="12:31" x14ac:dyDescent="0.2">
      <c r="L60" s="6" t="s">
        <v>531</v>
      </c>
      <c r="T60" s="62" t="s">
        <v>1789</v>
      </c>
      <c r="U60" s="62" t="s">
        <v>1729</v>
      </c>
      <c r="Z60" s="26" t="s">
        <v>1444</v>
      </c>
      <c r="AA60" s="6" t="s">
        <v>199</v>
      </c>
      <c r="AC60" s="6" t="s">
        <v>301</v>
      </c>
      <c r="AD60" s="6" t="b">
        <v>0</v>
      </c>
      <c r="AE60" s="6">
        <f>IF(ISNUMBER(SEARCH(t_activities[[#This Row],[activities]],Form!$B$74)),t_activities[[#This Row],[show_years]],0)</f>
        <v>0</v>
      </c>
    </row>
    <row r="61" spans="12:31" x14ac:dyDescent="0.2">
      <c r="L61" s="6" t="s">
        <v>532</v>
      </c>
      <c r="T61" s="62" t="s">
        <v>1790</v>
      </c>
      <c r="U61" s="62" t="s">
        <v>1730</v>
      </c>
      <c r="Z61" s="26" t="s">
        <v>1445</v>
      </c>
      <c r="AA61" s="6" t="s">
        <v>200</v>
      </c>
      <c r="AC61" s="6" t="s">
        <v>302</v>
      </c>
      <c r="AD61" s="6" t="b">
        <v>0</v>
      </c>
      <c r="AE61" s="6">
        <f>IF(ISNUMBER(SEARCH(t_activities[[#This Row],[activities]],Form!$B$74)),t_activities[[#This Row],[show_years]],0)</f>
        <v>0</v>
      </c>
    </row>
    <row r="62" spans="12:31" x14ac:dyDescent="0.2">
      <c r="L62" s="6" t="s">
        <v>533</v>
      </c>
      <c r="T62" s="62" t="s">
        <v>1791</v>
      </c>
      <c r="Z62" s="26" t="s">
        <v>1446</v>
      </c>
      <c r="AA62" s="6" t="s">
        <v>201</v>
      </c>
      <c r="AC62" s="6" t="s">
        <v>303</v>
      </c>
      <c r="AD62" s="6" t="b">
        <v>0</v>
      </c>
      <c r="AE62" s="6">
        <f>IF(ISNUMBER(SEARCH(t_activities[[#This Row],[activities]],Form!$B$74)),t_activities[[#This Row],[show_years]],0)</f>
        <v>0</v>
      </c>
    </row>
    <row r="63" spans="12:31" x14ac:dyDescent="0.2">
      <c r="L63" s="6" t="s">
        <v>534</v>
      </c>
      <c r="T63" s="62" t="s">
        <v>1792</v>
      </c>
      <c r="Z63" s="26" t="s">
        <v>1447</v>
      </c>
      <c r="AA63" s="6" t="s">
        <v>202</v>
      </c>
      <c r="AC63" s="6" t="s">
        <v>304</v>
      </c>
      <c r="AD63" s="6" t="b">
        <v>0</v>
      </c>
      <c r="AE63" s="6">
        <f>IF(ISNUMBER(SEARCH(t_activities[[#This Row],[activities]],Form!$B$74)),t_activities[[#This Row],[show_years]],0)</f>
        <v>0</v>
      </c>
    </row>
    <row r="64" spans="12:31" x14ac:dyDescent="0.2">
      <c r="L64" s="6" t="s">
        <v>535</v>
      </c>
      <c r="T64" s="62" t="s">
        <v>1793</v>
      </c>
      <c r="Z64" s="26" t="s">
        <v>1448</v>
      </c>
      <c r="AA64" s="6" t="s">
        <v>203</v>
      </c>
      <c r="AC64" s="6" t="s">
        <v>305</v>
      </c>
      <c r="AD64" s="6" t="b">
        <v>0</v>
      </c>
      <c r="AE64" s="6">
        <f>IF(ISNUMBER(SEARCH(t_activities[[#This Row],[activities]],Form!$B$74)),t_activities[[#This Row],[show_years]],0)</f>
        <v>0</v>
      </c>
    </row>
    <row r="65" spans="12:31" x14ac:dyDescent="0.2">
      <c r="L65" s="6" t="s">
        <v>536</v>
      </c>
      <c r="T65" s="62" t="s">
        <v>1794</v>
      </c>
      <c r="Z65" s="26" t="s">
        <v>1449</v>
      </c>
      <c r="AA65" s="6" t="s">
        <v>204</v>
      </c>
      <c r="AC65" s="6" t="s">
        <v>306</v>
      </c>
      <c r="AD65" s="6" t="b">
        <v>0</v>
      </c>
      <c r="AE65" s="6">
        <f>IF(ISNUMBER(SEARCH(t_activities[[#This Row],[activities]],Form!$B$74)),t_activities[[#This Row],[show_years]],0)</f>
        <v>0</v>
      </c>
    </row>
    <row r="66" spans="12:31" x14ac:dyDescent="0.2">
      <c r="L66" s="6" t="s">
        <v>537</v>
      </c>
      <c r="T66" s="62" t="s">
        <v>1795</v>
      </c>
      <c r="Z66" s="26" t="s">
        <v>1450</v>
      </c>
      <c r="AA66" s="6" t="s">
        <v>205</v>
      </c>
      <c r="AC66" s="6" t="s">
        <v>307</v>
      </c>
      <c r="AD66" s="6" t="b">
        <v>0</v>
      </c>
      <c r="AE66" s="6">
        <f>IF(ISNUMBER(SEARCH(t_activities[[#This Row],[activities]],Form!$B$74)),t_activities[[#This Row],[show_years]],0)</f>
        <v>0</v>
      </c>
    </row>
    <row r="67" spans="12:31" x14ac:dyDescent="0.2">
      <c r="L67" s="6" t="s">
        <v>538</v>
      </c>
      <c r="T67" s="62" t="s">
        <v>1796</v>
      </c>
      <c r="Z67" s="26" t="s">
        <v>1451</v>
      </c>
      <c r="AA67" s="6" t="s">
        <v>206</v>
      </c>
      <c r="AC67" s="6" t="s">
        <v>308</v>
      </c>
      <c r="AD67" s="6" t="b">
        <v>0</v>
      </c>
      <c r="AE67" s="6">
        <f>IF(ISNUMBER(SEARCH(t_activities[[#This Row],[activities]],Form!$B$74)),t_activities[[#This Row],[show_years]],0)</f>
        <v>0</v>
      </c>
    </row>
    <row r="68" spans="12:31" x14ac:dyDescent="0.2">
      <c r="L68" s="6" t="s">
        <v>539</v>
      </c>
      <c r="T68" s="62" t="s">
        <v>1797</v>
      </c>
      <c r="Z68" s="26" t="s">
        <v>1452</v>
      </c>
      <c r="AA68" s="6" t="s">
        <v>207</v>
      </c>
      <c r="AC68" s="6" t="s">
        <v>309</v>
      </c>
      <c r="AD68" s="6" t="b">
        <v>0</v>
      </c>
      <c r="AE68" s="6">
        <f>IF(ISNUMBER(SEARCH(t_activities[[#This Row],[activities]],Form!$B$74)),t_activities[[#This Row],[show_years]],0)</f>
        <v>0</v>
      </c>
    </row>
    <row r="69" spans="12:31" x14ac:dyDescent="0.2">
      <c r="L69" s="6" t="s">
        <v>540</v>
      </c>
      <c r="T69" s="62" t="s">
        <v>1798</v>
      </c>
      <c r="Z69" s="26" t="s">
        <v>1453</v>
      </c>
      <c r="AA69" s="6" t="s">
        <v>208</v>
      </c>
      <c r="AC69" s="6" t="s">
        <v>310</v>
      </c>
      <c r="AD69" s="6" t="b">
        <v>1</v>
      </c>
      <c r="AE69" s="6">
        <f>IF(ISNUMBER(SEARCH(t_activities[[#This Row],[activities]],Form!$B$74)),t_activities[[#This Row],[show_years]],0)</f>
        <v>0</v>
      </c>
    </row>
    <row r="70" spans="12:31" x14ac:dyDescent="0.2">
      <c r="L70" s="6" t="s">
        <v>541</v>
      </c>
      <c r="T70" s="62" t="s">
        <v>1799</v>
      </c>
      <c r="Z70" s="26" t="s">
        <v>1454</v>
      </c>
      <c r="AA70" s="6" t="s">
        <v>209</v>
      </c>
      <c r="AC70" s="6" t="s">
        <v>311</v>
      </c>
      <c r="AD70" s="6" t="b">
        <v>0</v>
      </c>
      <c r="AE70" s="6">
        <f>IF(ISNUMBER(SEARCH(t_activities[[#This Row],[activities]],Form!$B$74)),t_activities[[#This Row],[show_years]],0)</f>
        <v>0</v>
      </c>
    </row>
    <row r="71" spans="12:31" x14ac:dyDescent="0.2">
      <c r="L71" s="6" t="s">
        <v>542</v>
      </c>
      <c r="T71" s="62" t="s">
        <v>1800</v>
      </c>
      <c r="Z71" s="26" t="s">
        <v>1455</v>
      </c>
      <c r="AA71" s="6" t="s">
        <v>210</v>
      </c>
      <c r="AC71" s="6" t="s">
        <v>312</v>
      </c>
      <c r="AD71" s="6" t="b">
        <v>0</v>
      </c>
      <c r="AE71" s="6">
        <f>IF(ISNUMBER(SEARCH(t_activities[[#This Row],[activities]],Form!$B$74)),t_activities[[#This Row],[show_years]],0)</f>
        <v>0</v>
      </c>
    </row>
    <row r="72" spans="12:31" x14ac:dyDescent="0.2">
      <c r="L72" s="6" t="s">
        <v>543</v>
      </c>
      <c r="T72" s="62" t="s">
        <v>1801</v>
      </c>
      <c r="Z72" s="26" t="s">
        <v>1456</v>
      </c>
      <c r="AA72" s="6" t="s">
        <v>211</v>
      </c>
      <c r="AC72" s="6" t="s">
        <v>313</v>
      </c>
      <c r="AD72" s="6" t="b">
        <v>0</v>
      </c>
      <c r="AE72" s="6">
        <f>IF(ISNUMBER(SEARCH(t_activities[[#This Row],[activities]],Form!$B$74)),t_activities[[#This Row],[show_years]],0)</f>
        <v>0</v>
      </c>
    </row>
    <row r="73" spans="12:31" x14ac:dyDescent="0.2">
      <c r="L73" s="6" t="s">
        <v>362</v>
      </c>
      <c r="T73" s="62" t="s">
        <v>1802</v>
      </c>
      <c r="Z73" s="26" t="s">
        <v>1457</v>
      </c>
      <c r="AA73" s="6" t="s">
        <v>212</v>
      </c>
      <c r="AC73" s="6" t="s">
        <v>314</v>
      </c>
      <c r="AD73" s="6" t="b">
        <v>0</v>
      </c>
      <c r="AE73" s="6">
        <f>IF(ISNUMBER(SEARCH(t_activities[[#This Row],[activities]],Form!$B$74)),t_activities[[#This Row],[show_years]],0)</f>
        <v>0</v>
      </c>
    </row>
    <row r="74" spans="12:31" x14ac:dyDescent="0.2">
      <c r="L74" s="6" t="s">
        <v>363</v>
      </c>
      <c r="T74" s="62" t="s">
        <v>1803</v>
      </c>
      <c r="Z74" s="26" t="s">
        <v>1458</v>
      </c>
      <c r="AA74" s="6" t="s">
        <v>213</v>
      </c>
      <c r="AC74" s="6" t="s">
        <v>314</v>
      </c>
      <c r="AD74" s="6" t="b">
        <v>0</v>
      </c>
      <c r="AE74" s="6">
        <f>IF(ISNUMBER(SEARCH(t_activities[[#This Row],[activities]],Form!$B$74)),t_activities[[#This Row],[show_years]],0)</f>
        <v>0</v>
      </c>
    </row>
    <row r="75" spans="12:31" x14ac:dyDescent="0.2">
      <c r="L75" s="6" t="s">
        <v>544</v>
      </c>
      <c r="T75" s="62" t="s">
        <v>1804</v>
      </c>
      <c r="Z75" s="26" t="s">
        <v>1459</v>
      </c>
      <c r="AA75" s="6" t="s">
        <v>214</v>
      </c>
      <c r="AC75" s="6" t="s">
        <v>315</v>
      </c>
      <c r="AD75" s="6" t="b">
        <v>0</v>
      </c>
      <c r="AE75" s="6">
        <f>IF(ISNUMBER(SEARCH(t_activities[[#This Row],[activities]],Form!$B$74)),t_activities[[#This Row],[show_years]],0)</f>
        <v>0</v>
      </c>
    </row>
    <row r="76" spans="12:31" x14ac:dyDescent="0.2">
      <c r="L76" s="6" t="s">
        <v>545</v>
      </c>
      <c r="T76" s="62" t="s">
        <v>1805</v>
      </c>
      <c r="Z76" s="26" t="s">
        <v>1460</v>
      </c>
      <c r="AA76" s="6" t="s">
        <v>215</v>
      </c>
      <c r="AC76" s="6" t="s">
        <v>316</v>
      </c>
      <c r="AD76" s="6" t="b">
        <v>0</v>
      </c>
      <c r="AE76" s="6">
        <f>IF(ISNUMBER(SEARCH(t_activities[[#This Row],[activities]],Form!$B$74)),t_activities[[#This Row],[show_years]],0)</f>
        <v>0</v>
      </c>
    </row>
    <row r="77" spans="12:31" x14ac:dyDescent="0.2">
      <c r="L77" s="6" t="s">
        <v>546</v>
      </c>
      <c r="T77" s="62" t="s">
        <v>1806</v>
      </c>
      <c r="Z77" s="26" t="s">
        <v>1461</v>
      </c>
      <c r="AA77" s="6" t="s">
        <v>216</v>
      </c>
      <c r="AC77" s="6" t="s">
        <v>317</v>
      </c>
      <c r="AD77" s="6" t="b">
        <v>1</v>
      </c>
      <c r="AE77" s="6">
        <f>IF(ISNUMBER(SEARCH(t_activities[[#This Row],[activities]],Form!$B$74)),t_activities[[#This Row],[show_years]],0)</f>
        <v>0</v>
      </c>
    </row>
    <row r="78" spans="12:31" x14ac:dyDescent="0.2">
      <c r="L78" s="6" t="s">
        <v>547</v>
      </c>
      <c r="T78" s="62" t="s">
        <v>1807</v>
      </c>
      <c r="Z78" s="26" t="s">
        <v>1462</v>
      </c>
      <c r="AA78" s="6" t="s">
        <v>217</v>
      </c>
      <c r="AC78" s="6" t="s">
        <v>318</v>
      </c>
      <c r="AD78" s="6" t="b">
        <v>0</v>
      </c>
      <c r="AE78" s="6">
        <f>IF(ISNUMBER(SEARCH(t_activities[[#This Row],[activities]],Form!$B$74)),t_activities[[#This Row],[show_years]],0)</f>
        <v>0</v>
      </c>
    </row>
    <row r="79" spans="12:31" x14ac:dyDescent="0.2">
      <c r="L79" s="6" t="s">
        <v>364</v>
      </c>
      <c r="T79" s="62" t="s">
        <v>1808</v>
      </c>
      <c r="Z79" s="26" t="s">
        <v>1463</v>
      </c>
      <c r="AA79" s="6" t="s">
        <v>218</v>
      </c>
      <c r="AC79" s="6" t="s">
        <v>319</v>
      </c>
      <c r="AD79" s="6" t="b">
        <v>0</v>
      </c>
      <c r="AE79" s="6">
        <f>IF(ISNUMBER(SEARCH(t_activities[[#This Row],[activities]],Form!$B$74)),t_activities[[#This Row],[show_years]],0)</f>
        <v>0</v>
      </c>
    </row>
    <row r="80" spans="12:31" x14ac:dyDescent="0.2">
      <c r="L80" s="6" t="s">
        <v>548</v>
      </c>
      <c r="T80" s="62" t="s">
        <v>1809</v>
      </c>
      <c r="Z80" s="26" t="s">
        <v>1464</v>
      </c>
      <c r="AA80" s="6" t="s">
        <v>219</v>
      </c>
      <c r="AC80" s="6" t="s">
        <v>320</v>
      </c>
      <c r="AD80" s="6" t="b">
        <v>0</v>
      </c>
      <c r="AE80" s="6">
        <f>IF(ISNUMBER(SEARCH(t_activities[[#This Row],[activities]],Form!$B$74)),t_activities[[#This Row],[show_years]],0)</f>
        <v>0</v>
      </c>
    </row>
    <row r="81" spans="12:31" x14ac:dyDescent="0.2">
      <c r="L81" s="6" t="s">
        <v>549</v>
      </c>
      <c r="T81" s="62" t="s">
        <v>1810</v>
      </c>
      <c r="Z81" s="26" t="s">
        <v>1465</v>
      </c>
      <c r="AA81" s="6" t="s">
        <v>220</v>
      </c>
      <c r="AC81" s="6" t="s">
        <v>321</v>
      </c>
      <c r="AD81" s="6" t="b">
        <v>0</v>
      </c>
      <c r="AE81" s="6">
        <f>IF(ISNUMBER(SEARCH(t_activities[[#This Row],[activities]],Form!$B$74)),t_activities[[#This Row],[show_years]],0)</f>
        <v>0</v>
      </c>
    </row>
    <row r="82" spans="12:31" x14ac:dyDescent="0.2">
      <c r="L82" s="6" t="s">
        <v>550</v>
      </c>
      <c r="T82" s="62" t="s">
        <v>1811</v>
      </c>
      <c r="Z82" s="26" t="s">
        <v>1466</v>
      </c>
      <c r="AA82" s="6" t="s">
        <v>221</v>
      </c>
      <c r="AC82" s="6" t="s">
        <v>322</v>
      </c>
      <c r="AD82" s="6" t="b">
        <v>0</v>
      </c>
      <c r="AE82" s="6">
        <f>IF(ISNUMBER(SEARCH(t_activities[[#This Row],[activities]],Form!$B$74)),t_activities[[#This Row],[show_years]],0)</f>
        <v>0</v>
      </c>
    </row>
    <row r="83" spans="12:31" x14ac:dyDescent="0.2">
      <c r="L83" s="6" t="s">
        <v>551</v>
      </c>
      <c r="Z83" s="26" t="s">
        <v>1467</v>
      </c>
      <c r="AA83" s="6" t="s">
        <v>222</v>
      </c>
      <c r="AC83" s="6" t="s">
        <v>323</v>
      </c>
      <c r="AD83" s="6" t="b">
        <v>0</v>
      </c>
      <c r="AE83" s="6">
        <f>IF(ISNUMBER(SEARCH(t_activities[[#This Row],[activities]],Form!$B$74)),t_activities[[#This Row],[show_years]],0)</f>
        <v>0</v>
      </c>
    </row>
    <row r="84" spans="12:31" x14ac:dyDescent="0.2">
      <c r="L84" s="6" t="s">
        <v>552</v>
      </c>
      <c r="Z84" s="26" t="s">
        <v>1468</v>
      </c>
      <c r="AA84" s="6" t="s">
        <v>223</v>
      </c>
      <c r="AC84" s="6" t="s">
        <v>324</v>
      </c>
      <c r="AD84" s="6" t="b">
        <v>0</v>
      </c>
      <c r="AE84" s="6">
        <f>IF(ISNUMBER(SEARCH(t_activities[[#This Row],[activities]],Form!$B$74)),t_activities[[#This Row],[show_years]],0)</f>
        <v>0</v>
      </c>
    </row>
    <row r="85" spans="12:31" x14ac:dyDescent="0.2">
      <c r="L85" s="6" t="s">
        <v>553</v>
      </c>
      <c r="Z85" s="26" t="s">
        <v>1469</v>
      </c>
      <c r="AA85" s="6" t="s">
        <v>224</v>
      </c>
      <c r="AC85" s="6" t="s">
        <v>325</v>
      </c>
      <c r="AD85" s="6" t="b">
        <v>0</v>
      </c>
      <c r="AE85" s="6">
        <f>IF(ISNUMBER(SEARCH(t_activities[[#This Row],[activities]],Form!$B$74)),t_activities[[#This Row],[show_years]],0)</f>
        <v>0</v>
      </c>
    </row>
    <row r="86" spans="12:31" x14ac:dyDescent="0.2">
      <c r="L86" s="6" t="s">
        <v>554</v>
      </c>
      <c r="Z86" s="26" t="s">
        <v>1470</v>
      </c>
      <c r="AA86" s="6" t="s">
        <v>225</v>
      </c>
      <c r="AC86" s="6" t="s">
        <v>326</v>
      </c>
      <c r="AD86" s="6" t="b">
        <v>0</v>
      </c>
      <c r="AE86" s="6">
        <f>IF(ISNUMBER(SEARCH(t_activities[[#This Row],[activities]],Form!$B$74)),t_activities[[#This Row],[show_years]],0)</f>
        <v>0</v>
      </c>
    </row>
    <row r="87" spans="12:31" x14ac:dyDescent="0.2">
      <c r="L87" s="6" t="s">
        <v>365</v>
      </c>
      <c r="Z87" s="26" t="s">
        <v>1471</v>
      </c>
      <c r="AA87" s="6" t="s">
        <v>226</v>
      </c>
      <c r="AC87" s="6" t="s">
        <v>327</v>
      </c>
      <c r="AD87" s="6" t="b">
        <v>0</v>
      </c>
      <c r="AE87" s="6">
        <f>IF(ISNUMBER(SEARCH(t_activities[[#This Row],[activities]],Form!$B$74)),t_activities[[#This Row],[show_years]],0)</f>
        <v>0</v>
      </c>
    </row>
    <row r="88" spans="12:31" x14ac:dyDescent="0.2">
      <c r="L88" s="6" t="s">
        <v>555</v>
      </c>
      <c r="Z88" s="26" t="s">
        <v>1472</v>
      </c>
      <c r="AA88" s="6" t="s">
        <v>227</v>
      </c>
      <c r="AC88" s="6" t="s">
        <v>328</v>
      </c>
      <c r="AD88" s="6" t="b">
        <v>0</v>
      </c>
      <c r="AE88" s="6">
        <f>IF(ISNUMBER(SEARCH(t_activities[[#This Row],[activities]],Form!$B$74)),t_activities[[#This Row],[show_years]],0)</f>
        <v>0</v>
      </c>
    </row>
    <row r="89" spans="12:31" x14ac:dyDescent="0.2">
      <c r="L89" s="6" t="s">
        <v>556</v>
      </c>
      <c r="Z89" s="26" t="s">
        <v>1473</v>
      </c>
      <c r="AA89" s="6" t="s">
        <v>228</v>
      </c>
      <c r="AC89" s="6" t="s">
        <v>329</v>
      </c>
      <c r="AD89" s="6" t="b">
        <v>0</v>
      </c>
      <c r="AE89" s="6">
        <f>IF(ISNUMBER(SEARCH(t_activities[[#This Row],[activities]],Form!$B$74)),t_activities[[#This Row],[show_years]],0)</f>
        <v>0</v>
      </c>
    </row>
    <row r="90" spans="12:31" x14ac:dyDescent="0.2">
      <c r="L90" s="6" t="s">
        <v>557</v>
      </c>
      <c r="Z90" s="26" t="s">
        <v>1474</v>
      </c>
      <c r="AA90" s="6" t="s">
        <v>229</v>
      </c>
      <c r="AC90" s="6" t="s">
        <v>330</v>
      </c>
      <c r="AD90" s="6" t="b">
        <v>1</v>
      </c>
      <c r="AE90" s="6">
        <f>IF(ISNUMBER(SEARCH(t_activities[[#This Row],[activities]],Form!$B$74)),t_activities[[#This Row],[show_years]],0)</f>
        <v>0</v>
      </c>
    </row>
    <row r="91" spans="12:31" x14ac:dyDescent="0.2">
      <c r="L91" s="6" t="s">
        <v>558</v>
      </c>
      <c r="Z91" s="26" t="s">
        <v>1475</v>
      </c>
      <c r="AA91" s="6" t="s">
        <v>230</v>
      </c>
      <c r="AC91" s="6" t="s">
        <v>331</v>
      </c>
      <c r="AD91" s="6" t="b">
        <v>0</v>
      </c>
      <c r="AE91" s="6">
        <f>IF(ISNUMBER(SEARCH(t_activities[[#This Row],[activities]],Form!$B$74)),t_activities[[#This Row],[show_years]],0)</f>
        <v>0</v>
      </c>
    </row>
    <row r="92" spans="12:31" x14ac:dyDescent="0.2">
      <c r="L92" s="6" t="s">
        <v>559</v>
      </c>
      <c r="Z92" s="26" t="s">
        <v>1476</v>
      </c>
      <c r="AC92" s="6" t="s">
        <v>332</v>
      </c>
      <c r="AD92" s="6" t="b">
        <v>0</v>
      </c>
      <c r="AE92" s="6">
        <f>IF(ISNUMBER(SEARCH(t_activities[[#This Row],[activities]],Form!$B$74)),t_activities[[#This Row],[show_years]],0)</f>
        <v>0</v>
      </c>
    </row>
    <row r="93" spans="12:31" x14ac:dyDescent="0.2">
      <c r="L93" s="6" t="s">
        <v>560</v>
      </c>
      <c r="Z93" s="26" t="s">
        <v>1477</v>
      </c>
      <c r="AC93" s="6" t="s">
        <v>333</v>
      </c>
      <c r="AD93" s="6" t="b">
        <v>0</v>
      </c>
      <c r="AE93" s="6">
        <f>IF(ISNUMBER(SEARCH(t_activities[[#This Row],[activities]],Form!$B$74)),t_activities[[#This Row],[show_years]],0)</f>
        <v>0</v>
      </c>
    </row>
    <row r="94" spans="12:31" x14ac:dyDescent="0.2">
      <c r="L94" s="6" t="s">
        <v>561</v>
      </c>
      <c r="Z94" s="26" t="s">
        <v>1478</v>
      </c>
      <c r="AC94" s="6" t="s">
        <v>334</v>
      </c>
      <c r="AD94" s="6" t="b">
        <v>0</v>
      </c>
      <c r="AE94" s="6">
        <f>IF(ISNUMBER(SEARCH(t_activities[[#This Row],[activities]],Form!$B$74)),t_activities[[#This Row],[show_years]],0)</f>
        <v>0</v>
      </c>
    </row>
    <row r="95" spans="12:31" x14ac:dyDescent="0.2">
      <c r="L95" s="6" t="s">
        <v>562</v>
      </c>
      <c r="Z95" s="26" t="s">
        <v>1479</v>
      </c>
      <c r="AC95" s="6" t="s">
        <v>335</v>
      </c>
      <c r="AD95" s="6" t="b">
        <v>0</v>
      </c>
      <c r="AE95" s="6">
        <f>IF(ISNUMBER(SEARCH(t_activities[[#This Row],[activities]],Form!$B$74)),t_activities[[#This Row],[show_years]],0)</f>
        <v>0</v>
      </c>
    </row>
    <row r="96" spans="12:31" x14ac:dyDescent="0.2">
      <c r="L96" s="6" t="s">
        <v>366</v>
      </c>
      <c r="Z96" s="26" t="s">
        <v>1480</v>
      </c>
      <c r="AC96" s="6" t="s">
        <v>336</v>
      </c>
      <c r="AD96" s="6" t="b">
        <v>0</v>
      </c>
      <c r="AE96" s="6">
        <f>IF(ISNUMBER(SEARCH(t_activities[[#This Row],[activities]],Form!$B$74)),t_activities[[#This Row],[show_years]],0)</f>
        <v>0</v>
      </c>
    </row>
    <row r="97" spans="12:31" x14ac:dyDescent="0.2">
      <c r="L97" s="6" t="s">
        <v>563</v>
      </c>
      <c r="Z97" s="26" t="s">
        <v>1481</v>
      </c>
      <c r="AC97" s="6" t="s">
        <v>337</v>
      </c>
      <c r="AD97" s="6" t="b">
        <v>0</v>
      </c>
      <c r="AE97" s="6">
        <f>IF(ISNUMBER(SEARCH(t_activities[[#This Row],[activities]],Form!$B$74)),t_activities[[#This Row],[show_years]],0)</f>
        <v>0</v>
      </c>
    </row>
    <row r="98" spans="12:31" x14ac:dyDescent="0.2">
      <c r="L98" s="6" t="s">
        <v>564</v>
      </c>
      <c r="Z98" s="26" t="s">
        <v>1482</v>
      </c>
      <c r="AC98" s="6" t="s">
        <v>336</v>
      </c>
      <c r="AD98" s="6" t="b">
        <v>0</v>
      </c>
      <c r="AE98" s="6">
        <f>IF(ISNUMBER(SEARCH(t_activities[[#This Row],[activities]],Form!$B$74)),t_activities[[#This Row],[show_years]],0)</f>
        <v>0</v>
      </c>
    </row>
    <row r="99" spans="12:31" x14ac:dyDescent="0.2">
      <c r="L99" s="6" t="s">
        <v>565</v>
      </c>
      <c r="Z99" s="26" t="s">
        <v>1483</v>
      </c>
    </row>
    <row r="100" spans="12:31" x14ac:dyDescent="0.2">
      <c r="L100" s="6" t="s">
        <v>566</v>
      </c>
      <c r="Z100" s="26" t="s">
        <v>1484</v>
      </c>
    </row>
    <row r="101" spans="12:31" x14ac:dyDescent="0.2">
      <c r="L101" s="6" t="s">
        <v>567</v>
      </c>
      <c r="Z101" s="26" t="s">
        <v>1485</v>
      </c>
    </row>
    <row r="102" spans="12:31" x14ac:dyDescent="0.2">
      <c r="L102" s="6" t="s">
        <v>568</v>
      </c>
      <c r="Z102" s="26" t="s">
        <v>1486</v>
      </c>
    </row>
    <row r="103" spans="12:31" x14ac:dyDescent="0.2">
      <c r="L103" s="6" t="s">
        <v>569</v>
      </c>
      <c r="Z103" s="26" t="s">
        <v>1487</v>
      </c>
    </row>
    <row r="104" spans="12:31" x14ac:dyDescent="0.2">
      <c r="L104" s="6" t="s">
        <v>570</v>
      </c>
      <c r="Z104" s="26" t="s">
        <v>1488</v>
      </c>
    </row>
    <row r="105" spans="12:31" x14ac:dyDescent="0.2">
      <c r="L105" s="6" t="s">
        <v>571</v>
      </c>
      <c r="Z105" s="26" t="s">
        <v>1489</v>
      </c>
    </row>
    <row r="106" spans="12:31" x14ac:dyDescent="0.2">
      <c r="L106" s="6" t="s">
        <v>572</v>
      </c>
      <c r="Z106" s="26" t="s">
        <v>1490</v>
      </c>
    </row>
    <row r="107" spans="12:31" x14ac:dyDescent="0.2">
      <c r="L107" s="6" t="s">
        <v>573</v>
      </c>
      <c r="Z107" s="26" t="s">
        <v>1491</v>
      </c>
    </row>
    <row r="108" spans="12:31" x14ac:dyDescent="0.2">
      <c r="L108" s="6" t="s">
        <v>574</v>
      </c>
      <c r="Z108" s="26" t="s">
        <v>1492</v>
      </c>
    </row>
    <row r="109" spans="12:31" x14ac:dyDescent="0.2">
      <c r="L109" s="6" t="s">
        <v>575</v>
      </c>
      <c r="Z109" s="26" t="s">
        <v>1493</v>
      </c>
    </row>
    <row r="110" spans="12:31" x14ac:dyDescent="0.2">
      <c r="L110" s="6" t="s">
        <v>576</v>
      </c>
      <c r="Z110" s="26" t="s">
        <v>1494</v>
      </c>
    </row>
    <row r="111" spans="12:31" x14ac:dyDescent="0.2">
      <c r="L111" s="6" t="s">
        <v>577</v>
      </c>
      <c r="Z111" s="26" t="s">
        <v>1495</v>
      </c>
    </row>
    <row r="112" spans="12:31" x14ac:dyDescent="0.2">
      <c r="L112" s="6" t="s">
        <v>578</v>
      </c>
      <c r="Z112" s="26" t="s">
        <v>1496</v>
      </c>
    </row>
    <row r="113" spans="12:26" x14ac:dyDescent="0.2">
      <c r="L113" s="6" t="s">
        <v>579</v>
      </c>
      <c r="Z113" s="26" t="s">
        <v>1497</v>
      </c>
    </row>
    <row r="114" spans="12:26" x14ac:dyDescent="0.2">
      <c r="L114" s="6" t="s">
        <v>580</v>
      </c>
      <c r="Z114" s="26" t="s">
        <v>1498</v>
      </c>
    </row>
    <row r="115" spans="12:26" x14ac:dyDescent="0.2">
      <c r="L115" s="6" t="s">
        <v>581</v>
      </c>
      <c r="Z115" s="26" t="s">
        <v>1499</v>
      </c>
    </row>
    <row r="116" spans="12:26" x14ac:dyDescent="0.2">
      <c r="L116" s="6" t="s">
        <v>582</v>
      </c>
      <c r="Z116" s="26" t="s">
        <v>1500</v>
      </c>
    </row>
    <row r="117" spans="12:26" x14ac:dyDescent="0.2">
      <c r="L117" s="6" t="s">
        <v>583</v>
      </c>
      <c r="Z117" s="26" t="s">
        <v>1501</v>
      </c>
    </row>
    <row r="118" spans="12:26" x14ac:dyDescent="0.2">
      <c r="L118" s="6" t="s">
        <v>584</v>
      </c>
      <c r="Z118" s="26" t="s">
        <v>1502</v>
      </c>
    </row>
    <row r="119" spans="12:26" x14ac:dyDescent="0.2">
      <c r="L119" s="6" t="s">
        <v>585</v>
      </c>
      <c r="Z119" s="26" t="s">
        <v>1503</v>
      </c>
    </row>
    <row r="120" spans="12:26" x14ac:dyDescent="0.2">
      <c r="L120" s="6" t="s">
        <v>586</v>
      </c>
      <c r="Z120" s="26" t="s">
        <v>1504</v>
      </c>
    </row>
    <row r="121" spans="12:26" x14ac:dyDescent="0.2">
      <c r="L121" s="6" t="s">
        <v>587</v>
      </c>
      <c r="Z121" s="26" t="s">
        <v>1505</v>
      </c>
    </row>
    <row r="122" spans="12:26" x14ac:dyDescent="0.2">
      <c r="L122" s="6" t="s">
        <v>588</v>
      </c>
      <c r="Z122" s="26" t="s">
        <v>1506</v>
      </c>
    </row>
    <row r="123" spans="12:26" x14ac:dyDescent="0.2">
      <c r="L123" s="6" t="s">
        <v>589</v>
      </c>
      <c r="Z123" s="26" t="s">
        <v>1507</v>
      </c>
    </row>
    <row r="124" spans="12:26" x14ac:dyDescent="0.2">
      <c r="L124" s="6" t="s">
        <v>590</v>
      </c>
      <c r="Z124" s="26" t="s">
        <v>1508</v>
      </c>
    </row>
    <row r="125" spans="12:26" x14ac:dyDescent="0.2">
      <c r="L125" s="6" t="s">
        <v>367</v>
      </c>
      <c r="Z125" s="26" t="s">
        <v>1509</v>
      </c>
    </row>
    <row r="126" spans="12:26" x14ac:dyDescent="0.2">
      <c r="L126" s="6" t="s">
        <v>591</v>
      </c>
      <c r="Z126" s="26" t="s">
        <v>1510</v>
      </c>
    </row>
    <row r="127" spans="12:26" x14ac:dyDescent="0.2">
      <c r="L127" s="6" t="s">
        <v>592</v>
      </c>
      <c r="Z127" s="26" t="s">
        <v>1511</v>
      </c>
    </row>
    <row r="128" spans="12:26" x14ac:dyDescent="0.2">
      <c r="L128" s="6" t="s">
        <v>593</v>
      </c>
      <c r="Z128" s="26" t="s">
        <v>1512</v>
      </c>
    </row>
    <row r="129" spans="12:26" x14ac:dyDescent="0.2">
      <c r="L129" s="6" t="s">
        <v>594</v>
      </c>
      <c r="Z129" s="26" t="s">
        <v>1513</v>
      </c>
    </row>
    <row r="130" spans="12:26" x14ac:dyDescent="0.2">
      <c r="L130" s="6" t="s">
        <v>595</v>
      </c>
      <c r="Z130" s="26" t="s">
        <v>1514</v>
      </c>
    </row>
    <row r="131" spans="12:26" x14ac:dyDescent="0.2">
      <c r="L131" s="6" t="s">
        <v>596</v>
      </c>
      <c r="Z131" s="26" t="s">
        <v>1515</v>
      </c>
    </row>
    <row r="132" spans="12:26" x14ac:dyDescent="0.2">
      <c r="L132" s="6" t="s">
        <v>597</v>
      </c>
      <c r="Z132" s="26" t="s">
        <v>1516</v>
      </c>
    </row>
    <row r="133" spans="12:26" x14ac:dyDescent="0.2">
      <c r="L133" s="6" t="s">
        <v>598</v>
      </c>
      <c r="Z133" s="26" t="s">
        <v>1517</v>
      </c>
    </row>
    <row r="134" spans="12:26" x14ac:dyDescent="0.2">
      <c r="L134" s="6" t="s">
        <v>599</v>
      </c>
      <c r="Z134" s="26" t="s">
        <v>1518</v>
      </c>
    </row>
    <row r="135" spans="12:26" x14ac:dyDescent="0.2">
      <c r="L135" s="6" t="s">
        <v>600</v>
      </c>
      <c r="Z135" s="26" t="s">
        <v>1519</v>
      </c>
    </row>
    <row r="136" spans="12:26" x14ac:dyDescent="0.2">
      <c r="L136" s="6" t="s">
        <v>601</v>
      </c>
      <c r="Z136" s="26" t="s">
        <v>1520</v>
      </c>
    </row>
    <row r="137" spans="12:26" x14ac:dyDescent="0.2">
      <c r="L137" s="6" t="s">
        <v>602</v>
      </c>
      <c r="Z137" s="26" t="s">
        <v>1521</v>
      </c>
    </row>
    <row r="138" spans="12:26" x14ac:dyDescent="0.2">
      <c r="L138" s="6" t="s">
        <v>603</v>
      </c>
      <c r="Z138" s="26" t="s">
        <v>1522</v>
      </c>
    </row>
    <row r="139" spans="12:26" x14ac:dyDescent="0.2">
      <c r="L139" s="6" t="s">
        <v>604</v>
      </c>
      <c r="Z139" s="26" t="s">
        <v>1523</v>
      </c>
    </row>
    <row r="140" spans="12:26" x14ac:dyDescent="0.2">
      <c r="L140" s="6" t="s">
        <v>605</v>
      </c>
      <c r="Z140" s="26" t="s">
        <v>1524</v>
      </c>
    </row>
    <row r="141" spans="12:26" x14ac:dyDescent="0.2">
      <c r="L141" s="6" t="s">
        <v>606</v>
      </c>
      <c r="Z141" s="26" t="s">
        <v>1525</v>
      </c>
    </row>
    <row r="142" spans="12:26" x14ac:dyDescent="0.2">
      <c r="L142" s="6" t="s">
        <v>607</v>
      </c>
      <c r="Z142" s="26" t="s">
        <v>1526</v>
      </c>
    </row>
    <row r="143" spans="12:26" x14ac:dyDescent="0.2">
      <c r="L143" s="6" t="s">
        <v>608</v>
      </c>
      <c r="Z143" s="26" t="s">
        <v>1527</v>
      </c>
    </row>
    <row r="144" spans="12:26" x14ac:dyDescent="0.2">
      <c r="L144" s="6" t="s">
        <v>609</v>
      </c>
      <c r="Z144" s="26" t="s">
        <v>1528</v>
      </c>
    </row>
    <row r="145" spans="12:26" x14ac:dyDescent="0.2">
      <c r="L145" s="6" t="s">
        <v>610</v>
      </c>
      <c r="Z145" s="26" t="s">
        <v>1529</v>
      </c>
    </row>
    <row r="146" spans="12:26" x14ac:dyDescent="0.2">
      <c r="L146" s="6" t="s">
        <v>611</v>
      </c>
      <c r="Z146" s="26" t="s">
        <v>1530</v>
      </c>
    </row>
    <row r="147" spans="12:26" x14ac:dyDescent="0.2">
      <c r="L147" s="6" t="s">
        <v>612</v>
      </c>
      <c r="Z147" s="26" t="s">
        <v>1531</v>
      </c>
    </row>
    <row r="148" spans="12:26" x14ac:dyDescent="0.2">
      <c r="L148" s="6" t="s">
        <v>613</v>
      </c>
      <c r="Z148" s="26" t="s">
        <v>1532</v>
      </c>
    </row>
    <row r="149" spans="12:26" x14ac:dyDescent="0.2">
      <c r="L149" s="6" t="s">
        <v>614</v>
      </c>
      <c r="Z149" s="26" t="s">
        <v>1533</v>
      </c>
    </row>
    <row r="150" spans="12:26" x14ac:dyDescent="0.2">
      <c r="L150" s="6" t="s">
        <v>615</v>
      </c>
      <c r="Z150" s="26" t="s">
        <v>1534</v>
      </c>
    </row>
    <row r="151" spans="12:26" x14ac:dyDescent="0.2">
      <c r="L151" s="6" t="s">
        <v>616</v>
      </c>
      <c r="Z151" s="26" t="s">
        <v>1535</v>
      </c>
    </row>
    <row r="152" spans="12:26" x14ac:dyDescent="0.2">
      <c r="L152" s="6" t="s">
        <v>617</v>
      </c>
      <c r="Z152" s="26" t="s">
        <v>1536</v>
      </c>
    </row>
    <row r="153" spans="12:26" x14ac:dyDescent="0.2">
      <c r="L153" s="6" t="s">
        <v>618</v>
      </c>
      <c r="Z153" s="26" t="s">
        <v>1537</v>
      </c>
    </row>
    <row r="154" spans="12:26" x14ac:dyDescent="0.2">
      <c r="L154" s="6" t="s">
        <v>619</v>
      </c>
      <c r="Z154" s="26" t="s">
        <v>1538</v>
      </c>
    </row>
    <row r="155" spans="12:26" x14ac:dyDescent="0.2">
      <c r="L155" s="6" t="s">
        <v>620</v>
      </c>
      <c r="Z155" s="26" t="s">
        <v>1539</v>
      </c>
    </row>
    <row r="156" spans="12:26" x14ac:dyDescent="0.2">
      <c r="L156" s="6" t="s">
        <v>621</v>
      </c>
      <c r="Z156" s="26" t="s">
        <v>1540</v>
      </c>
    </row>
    <row r="157" spans="12:26" x14ac:dyDescent="0.2">
      <c r="L157" s="6" t="s">
        <v>622</v>
      </c>
      <c r="Z157" s="26" t="s">
        <v>1541</v>
      </c>
    </row>
    <row r="158" spans="12:26" x14ac:dyDescent="0.2">
      <c r="L158" s="6" t="s">
        <v>623</v>
      </c>
      <c r="Z158" s="26" t="s">
        <v>1542</v>
      </c>
    </row>
    <row r="159" spans="12:26" x14ac:dyDescent="0.2">
      <c r="L159" s="6" t="s">
        <v>624</v>
      </c>
      <c r="Z159" s="26" t="s">
        <v>1543</v>
      </c>
    </row>
    <row r="160" spans="12:26" x14ac:dyDescent="0.2">
      <c r="L160" s="6" t="s">
        <v>625</v>
      </c>
      <c r="Z160" s="26" t="s">
        <v>1544</v>
      </c>
    </row>
    <row r="161" spans="12:26" x14ac:dyDescent="0.2">
      <c r="L161" s="6" t="s">
        <v>626</v>
      </c>
      <c r="Z161" s="26" t="s">
        <v>1545</v>
      </c>
    </row>
    <row r="162" spans="12:26" x14ac:dyDescent="0.2">
      <c r="L162" s="6" t="s">
        <v>627</v>
      </c>
      <c r="Z162" s="26" t="s">
        <v>1546</v>
      </c>
    </row>
    <row r="163" spans="12:26" x14ac:dyDescent="0.2">
      <c r="L163" s="6" t="s">
        <v>628</v>
      </c>
      <c r="Z163" s="26" t="s">
        <v>1547</v>
      </c>
    </row>
    <row r="164" spans="12:26" x14ac:dyDescent="0.2">
      <c r="L164" s="6" t="s">
        <v>629</v>
      </c>
      <c r="Z164" s="26" t="s">
        <v>1548</v>
      </c>
    </row>
    <row r="165" spans="12:26" x14ac:dyDescent="0.2">
      <c r="L165" s="6" t="s">
        <v>630</v>
      </c>
      <c r="Z165" s="26" t="s">
        <v>1549</v>
      </c>
    </row>
    <row r="166" spans="12:26" x14ac:dyDescent="0.2">
      <c r="L166" s="6" t="s">
        <v>631</v>
      </c>
      <c r="Z166" s="26" t="s">
        <v>1550</v>
      </c>
    </row>
    <row r="167" spans="12:26" x14ac:dyDescent="0.2">
      <c r="L167" s="6" t="s">
        <v>368</v>
      </c>
      <c r="Z167" s="26" t="s">
        <v>1551</v>
      </c>
    </row>
    <row r="168" spans="12:26" x14ac:dyDescent="0.2">
      <c r="L168" s="6" t="s">
        <v>369</v>
      </c>
      <c r="Z168" s="26" t="s">
        <v>1552</v>
      </c>
    </row>
    <row r="169" spans="12:26" x14ac:dyDescent="0.2">
      <c r="L169" s="6" t="s">
        <v>370</v>
      </c>
      <c r="Z169" s="26" t="s">
        <v>1553</v>
      </c>
    </row>
    <row r="170" spans="12:26" x14ac:dyDescent="0.2">
      <c r="L170" s="6" t="s">
        <v>371</v>
      </c>
      <c r="Z170" s="26" t="s">
        <v>1554</v>
      </c>
    </row>
    <row r="171" spans="12:26" x14ac:dyDescent="0.2">
      <c r="L171" s="6" t="s">
        <v>632</v>
      </c>
      <c r="Z171" s="26" t="s">
        <v>1555</v>
      </c>
    </row>
    <row r="172" spans="12:26" x14ac:dyDescent="0.2">
      <c r="L172" s="6" t="s">
        <v>633</v>
      </c>
      <c r="Z172" s="26" t="s">
        <v>1556</v>
      </c>
    </row>
    <row r="173" spans="12:26" x14ac:dyDescent="0.2">
      <c r="L173" s="6" t="s">
        <v>634</v>
      </c>
      <c r="Z173" s="26" t="s">
        <v>1557</v>
      </c>
    </row>
    <row r="174" spans="12:26" x14ac:dyDescent="0.2">
      <c r="L174" s="6" t="s">
        <v>635</v>
      </c>
      <c r="Z174" s="26" t="s">
        <v>1558</v>
      </c>
    </row>
    <row r="175" spans="12:26" x14ac:dyDescent="0.2">
      <c r="L175" s="6" t="s">
        <v>372</v>
      </c>
      <c r="Z175" s="26" t="s">
        <v>1559</v>
      </c>
    </row>
    <row r="176" spans="12:26" x14ac:dyDescent="0.2">
      <c r="L176" s="6" t="s">
        <v>636</v>
      </c>
      <c r="Z176" s="26" t="s">
        <v>1560</v>
      </c>
    </row>
    <row r="177" spans="12:26" x14ac:dyDescent="0.2">
      <c r="L177" s="6" t="s">
        <v>637</v>
      </c>
      <c r="Z177" s="26" t="s">
        <v>1561</v>
      </c>
    </row>
    <row r="178" spans="12:26" x14ac:dyDescent="0.2">
      <c r="L178" s="6" t="s">
        <v>638</v>
      </c>
      <c r="Z178" s="26" t="s">
        <v>1562</v>
      </c>
    </row>
    <row r="179" spans="12:26" x14ac:dyDescent="0.2">
      <c r="L179" s="6" t="s">
        <v>639</v>
      </c>
      <c r="Z179" s="26" t="s">
        <v>1563</v>
      </c>
    </row>
    <row r="180" spans="12:26" x14ac:dyDescent="0.2">
      <c r="L180" s="6" t="s">
        <v>640</v>
      </c>
      <c r="Z180" s="26" t="s">
        <v>1564</v>
      </c>
    </row>
    <row r="181" spans="12:26" x14ac:dyDescent="0.2">
      <c r="L181" s="6" t="s">
        <v>641</v>
      </c>
      <c r="Z181" s="26" t="s">
        <v>1565</v>
      </c>
    </row>
    <row r="182" spans="12:26" x14ac:dyDescent="0.2">
      <c r="L182" s="6" t="s">
        <v>642</v>
      </c>
      <c r="Z182" s="26" t="s">
        <v>1566</v>
      </c>
    </row>
    <row r="183" spans="12:26" x14ac:dyDescent="0.2">
      <c r="L183" s="6" t="s">
        <v>643</v>
      </c>
      <c r="Z183" s="26" t="s">
        <v>1567</v>
      </c>
    </row>
    <row r="184" spans="12:26" x14ac:dyDescent="0.2">
      <c r="L184" s="6" t="s">
        <v>644</v>
      </c>
      <c r="Z184" s="26" t="s">
        <v>1568</v>
      </c>
    </row>
    <row r="185" spans="12:26" x14ac:dyDescent="0.2">
      <c r="L185" s="6" t="s">
        <v>645</v>
      </c>
      <c r="Z185" s="26" t="s">
        <v>1569</v>
      </c>
    </row>
    <row r="186" spans="12:26" x14ac:dyDescent="0.2">
      <c r="L186" s="6" t="s">
        <v>373</v>
      </c>
      <c r="Z186" s="26" t="s">
        <v>1570</v>
      </c>
    </row>
    <row r="187" spans="12:26" x14ac:dyDescent="0.2">
      <c r="L187" s="6" t="s">
        <v>646</v>
      </c>
      <c r="Z187" s="26" t="s">
        <v>1571</v>
      </c>
    </row>
    <row r="188" spans="12:26" x14ac:dyDescent="0.2">
      <c r="L188" s="6" t="s">
        <v>647</v>
      </c>
      <c r="Z188" s="26" t="s">
        <v>1572</v>
      </c>
    </row>
    <row r="189" spans="12:26" x14ac:dyDescent="0.2">
      <c r="L189" s="6" t="s">
        <v>648</v>
      </c>
      <c r="Z189" s="26" t="s">
        <v>1573</v>
      </c>
    </row>
    <row r="190" spans="12:26" x14ac:dyDescent="0.2">
      <c r="L190" s="6" t="s">
        <v>649</v>
      </c>
      <c r="Z190" s="26" t="s">
        <v>1574</v>
      </c>
    </row>
    <row r="191" spans="12:26" x14ac:dyDescent="0.2">
      <c r="L191" s="6" t="s">
        <v>374</v>
      </c>
      <c r="Z191" s="26" t="s">
        <v>1575</v>
      </c>
    </row>
    <row r="192" spans="12:26" x14ac:dyDescent="0.2">
      <c r="L192" s="6" t="s">
        <v>375</v>
      </c>
      <c r="Z192" s="26" t="s">
        <v>1576</v>
      </c>
    </row>
    <row r="193" spans="12:26" x14ac:dyDescent="0.2">
      <c r="L193" s="6" t="s">
        <v>650</v>
      </c>
      <c r="Z193" s="26" t="s">
        <v>1577</v>
      </c>
    </row>
    <row r="194" spans="12:26" x14ac:dyDescent="0.2">
      <c r="L194" s="6" t="s">
        <v>651</v>
      </c>
      <c r="Z194" s="26" t="s">
        <v>1578</v>
      </c>
    </row>
    <row r="195" spans="12:26" x14ac:dyDescent="0.2">
      <c r="L195" s="6" t="s">
        <v>652</v>
      </c>
      <c r="Z195" s="26" t="s">
        <v>1579</v>
      </c>
    </row>
    <row r="196" spans="12:26" x14ac:dyDescent="0.2">
      <c r="L196" s="6" t="s">
        <v>376</v>
      </c>
      <c r="Z196" s="26" t="s">
        <v>1580</v>
      </c>
    </row>
    <row r="197" spans="12:26" x14ac:dyDescent="0.2">
      <c r="L197" s="6" t="s">
        <v>377</v>
      </c>
      <c r="Z197" s="26" t="s">
        <v>1581</v>
      </c>
    </row>
    <row r="198" spans="12:26" x14ac:dyDescent="0.2">
      <c r="L198" s="6" t="s">
        <v>378</v>
      </c>
      <c r="Z198" s="26" t="s">
        <v>1582</v>
      </c>
    </row>
    <row r="199" spans="12:26" x14ac:dyDescent="0.2">
      <c r="L199" s="6" t="s">
        <v>379</v>
      </c>
      <c r="Z199" s="26" t="s">
        <v>1583</v>
      </c>
    </row>
    <row r="200" spans="12:26" x14ac:dyDescent="0.2">
      <c r="L200" s="6" t="s">
        <v>380</v>
      </c>
      <c r="Z200" s="26" t="s">
        <v>1584</v>
      </c>
    </row>
    <row r="201" spans="12:26" x14ac:dyDescent="0.2">
      <c r="L201" s="6" t="s">
        <v>381</v>
      </c>
      <c r="Z201" s="26" t="s">
        <v>1585</v>
      </c>
    </row>
    <row r="202" spans="12:26" x14ac:dyDescent="0.2">
      <c r="L202" s="6" t="s">
        <v>653</v>
      </c>
      <c r="Z202" s="26" t="s">
        <v>1586</v>
      </c>
    </row>
    <row r="203" spans="12:26" x14ac:dyDescent="0.2">
      <c r="L203" s="6" t="s">
        <v>654</v>
      </c>
      <c r="Z203" s="26" t="s">
        <v>1587</v>
      </c>
    </row>
    <row r="204" spans="12:26" x14ac:dyDescent="0.2">
      <c r="L204" s="6" t="s">
        <v>655</v>
      </c>
      <c r="Z204" s="26" t="s">
        <v>1588</v>
      </c>
    </row>
    <row r="205" spans="12:26" x14ac:dyDescent="0.2">
      <c r="L205" s="6" t="s">
        <v>656</v>
      </c>
      <c r="Z205" s="26" t="s">
        <v>1589</v>
      </c>
    </row>
    <row r="206" spans="12:26" x14ac:dyDescent="0.2">
      <c r="L206" s="6" t="s">
        <v>657</v>
      </c>
      <c r="Z206" s="26" t="s">
        <v>1590</v>
      </c>
    </row>
    <row r="207" spans="12:26" x14ac:dyDescent="0.2">
      <c r="L207" s="6" t="s">
        <v>658</v>
      </c>
      <c r="Z207" s="26" t="s">
        <v>1591</v>
      </c>
    </row>
    <row r="208" spans="12:26" x14ac:dyDescent="0.2">
      <c r="L208" s="6" t="s">
        <v>659</v>
      </c>
      <c r="Z208" s="26" t="s">
        <v>1592</v>
      </c>
    </row>
    <row r="209" spans="12:26" x14ac:dyDescent="0.2">
      <c r="L209" s="6" t="s">
        <v>660</v>
      </c>
      <c r="Z209" s="26" t="s">
        <v>1593</v>
      </c>
    </row>
    <row r="210" spans="12:26" x14ac:dyDescent="0.2">
      <c r="L210" s="6" t="s">
        <v>661</v>
      </c>
      <c r="Z210" s="26" t="s">
        <v>1594</v>
      </c>
    </row>
    <row r="211" spans="12:26" x14ac:dyDescent="0.2">
      <c r="L211" s="6" t="s">
        <v>662</v>
      </c>
      <c r="Z211" s="26" t="s">
        <v>1595</v>
      </c>
    </row>
    <row r="212" spans="12:26" x14ac:dyDescent="0.2">
      <c r="L212" s="6" t="s">
        <v>663</v>
      </c>
      <c r="Z212" s="26" t="s">
        <v>1596</v>
      </c>
    </row>
    <row r="213" spans="12:26" x14ac:dyDescent="0.2">
      <c r="L213" s="6" t="s">
        <v>664</v>
      </c>
      <c r="Z213" s="26" t="s">
        <v>1597</v>
      </c>
    </row>
    <row r="214" spans="12:26" x14ac:dyDescent="0.2">
      <c r="L214" s="6" t="s">
        <v>665</v>
      </c>
      <c r="Z214" s="26" t="s">
        <v>1598</v>
      </c>
    </row>
    <row r="215" spans="12:26" x14ac:dyDescent="0.2">
      <c r="L215" s="6" t="s">
        <v>666</v>
      </c>
      <c r="Z215" s="26" t="s">
        <v>1599</v>
      </c>
    </row>
    <row r="216" spans="12:26" x14ac:dyDescent="0.2">
      <c r="L216" s="6" t="s">
        <v>667</v>
      </c>
      <c r="Z216" s="26" t="s">
        <v>1600</v>
      </c>
    </row>
    <row r="217" spans="12:26" x14ac:dyDescent="0.2">
      <c r="L217" s="6" t="s">
        <v>668</v>
      </c>
      <c r="Z217" s="26" t="s">
        <v>1601</v>
      </c>
    </row>
    <row r="218" spans="12:26" x14ac:dyDescent="0.2">
      <c r="L218" s="6" t="s">
        <v>669</v>
      </c>
      <c r="Z218" s="26" t="s">
        <v>1602</v>
      </c>
    </row>
    <row r="219" spans="12:26" x14ac:dyDescent="0.2">
      <c r="L219" s="6" t="s">
        <v>670</v>
      </c>
      <c r="Z219" s="26" t="s">
        <v>1603</v>
      </c>
    </row>
    <row r="220" spans="12:26" x14ac:dyDescent="0.2">
      <c r="L220" s="6" t="s">
        <v>671</v>
      </c>
      <c r="Z220" s="26" t="s">
        <v>1604</v>
      </c>
    </row>
    <row r="221" spans="12:26" x14ac:dyDescent="0.2">
      <c r="L221" s="6" t="s">
        <v>672</v>
      </c>
      <c r="Z221" s="26" t="s">
        <v>1605</v>
      </c>
    </row>
    <row r="222" spans="12:26" x14ac:dyDescent="0.2">
      <c r="L222" s="6" t="s">
        <v>673</v>
      </c>
      <c r="Z222" s="26" t="s">
        <v>1606</v>
      </c>
    </row>
    <row r="223" spans="12:26" x14ac:dyDescent="0.2">
      <c r="L223" s="6" t="s">
        <v>674</v>
      </c>
      <c r="Z223" s="26" t="s">
        <v>1607</v>
      </c>
    </row>
    <row r="224" spans="12:26" x14ac:dyDescent="0.2">
      <c r="L224" s="6" t="s">
        <v>675</v>
      </c>
      <c r="Z224" s="26" t="s">
        <v>1608</v>
      </c>
    </row>
    <row r="225" spans="12:26" x14ac:dyDescent="0.2">
      <c r="L225" s="6" t="s">
        <v>676</v>
      </c>
      <c r="Z225" s="26" t="s">
        <v>1609</v>
      </c>
    </row>
    <row r="226" spans="12:26" x14ac:dyDescent="0.2">
      <c r="L226" s="6" t="s">
        <v>677</v>
      </c>
      <c r="Z226" s="26" t="s">
        <v>1610</v>
      </c>
    </row>
    <row r="227" spans="12:26" x14ac:dyDescent="0.2">
      <c r="L227" s="6" t="s">
        <v>382</v>
      </c>
      <c r="Z227" s="26" t="s">
        <v>1611</v>
      </c>
    </row>
    <row r="228" spans="12:26" x14ac:dyDescent="0.2">
      <c r="L228" s="6" t="s">
        <v>383</v>
      </c>
      <c r="Z228" s="26" t="s">
        <v>1612</v>
      </c>
    </row>
    <row r="229" spans="12:26" x14ac:dyDescent="0.2">
      <c r="L229" s="6" t="s">
        <v>678</v>
      </c>
      <c r="Z229" s="26" t="s">
        <v>1613</v>
      </c>
    </row>
    <row r="230" spans="12:26" x14ac:dyDescent="0.2">
      <c r="L230" s="6" t="s">
        <v>679</v>
      </c>
      <c r="Z230" s="26" t="s">
        <v>1614</v>
      </c>
    </row>
    <row r="231" spans="12:26" x14ac:dyDescent="0.2">
      <c r="L231" s="6" t="s">
        <v>680</v>
      </c>
      <c r="Z231" s="26" t="s">
        <v>1615</v>
      </c>
    </row>
    <row r="232" spans="12:26" x14ac:dyDescent="0.2">
      <c r="L232" s="6" t="s">
        <v>681</v>
      </c>
      <c r="Z232" s="26" t="s">
        <v>1616</v>
      </c>
    </row>
    <row r="233" spans="12:26" x14ac:dyDescent="0.2">
      <c r="L233" s="6" t="s">
        <v>682</v>
      </c>
      <c r="Z233" s="26" t="s">
        <v>1617</v>
      </c>
    </row>
    <row r="234" spans="12:26" x14ac:dyDescent="0.2">
      <c r="L234" s="6" t="s">
        <v>683</v>
      </c>
      <c r="Z234" s="26" t="s">
        <v>1618</v>
      </c>
    </row>
    <row r="235" spans="12:26" x14ac:dyDescent="0.2">
      <c r="L235" s="6" t="s">
        <v>684</v>
      </c>
      <c r="Z235" s="26" t="s">
        <v>1619</v>
      </c>
    </row>
    <row r="236" spans="12:26" x14ac:dyDescent="0.2">
      <c r="L236" s="6" t="s">
        <v>685</v>
      </c>
      <c r="Z236" s="26" t="s">
        <v>1620</v>
      </c>
    </row>
    <row r="237" spans="12:26" x14ac:dyDescent="0.2">
      <c r="L237" s="6" t="s">
        <v>686</v>
      </c>
      <c r="Z237" s="26" t="s">
        <v>1621</v>
      </c>
    </row>
    <row r="238" spans="12:26" x14ac:dyDescent="0.2">
      <c r="L238" s="6" t="s">
        <v>687</v>
      </c>
      <c r="Z238" s="26" t="s">
        <v>1622</v>
      </c>
    </row>
    <row r="239" spans="12:26" x14ac:dyDescent="0.2">
      <c r="L239" s="6" t="s">
        <v>688</v>
      </c>
      <c r="Z239" s="26" t="s">
        <v>1623</v>
      </c>
    </row>
    <row r="240" spans="12:26" x14ac:dyDescent="0.2">
      <c r="L240" s="6" t="s">
        <v>689</v>
      </c>
      <c r="Z240" s="26" t="s">
        <v>1624</v>
      </c>
    </row>
    <row r="241" spans="12:26" x14ac:dyDescent="0.2">
      <c r="L241" s="6" t="s">
        <v>690</v>
      </c>
      <c r="Z241" s="26" t="s">
        <v>1625</v>
      </c>
    </row>
    <row r="242" spans="12:26" x14ac:dyDescent="0.2">
      <c r="L242" s="6" t="s">
        <v>691</v>
      </c>
      <c r="Z242" s="26" t="s">
        <v>1626</v>
      </c>
    </row>
    <row r="243" spans="12:26" x14ac:dyDescent="0.2">
      <c r="L243" s="6" t="s">
        <v>692</v>
      </c>
      <c r="Z243" s="26" t="s">
        <v>1627</v>
      </c>
    </row>
    <row r="244" spans="12:26" x14ac:dyDescent="0.2">
      <c r="L244" s="6" t="s">
        <v>693</v>
      </c>
      <c r="Z244" s="26" t="s">
        <v>1628</v>
      </c>
    </row>
    <row r="245" spans="12:26" x14ac:dyDescent="0.2">
      <c r="L245" s="6" t="s">
        <v>694</v>
      </c>
      <c r="Z245" s="26" t="s">
        <v>1629</v>
      </c>
    </row>
    <row r="246" spans="12:26" x14ac:dyDescent="0.2">
      <c r="L246" s="6" t="s">
        <v>695</v>
      </c>
      <c r="Z246" s="26" t="s">
        <v>1630</v>
      </c>
    </row>
    <row r="247" spans="12:26" x14ac:dyDescent="0.2">
      <c r="L247" s="6" t="s">
        <v>696</v>
      </c>
      <c r="Z247" s="26" t="s">
        <v>1631</v>
      </c>
    </row>
    <row r="248" spans="12:26" x14ac:dyDescent="0.2">
      <c r="L248" s="6" t="s">
        <v>697</v>
      </c>
    </row>
    <row r="249" spans="12:26" x14ac:dyDescent="0.2">
      <c r="L249" s="6" t="s">
        <v>698</v>
      </c>
    </row>
    <row r="250" spans="12:26" x14ac:dyDescent="0.2">
      <c r="L250" s="6" t="s">
        <v>699</v>
      </c>
    </row>
    <row r="251" spans="12:26" x14ac:dyDescent="0.2">
      <c r="L251" s="6" t="s">
        <v>700</v>
      </c>
    </row>
    <row r="252" spans="12:26" x14ac:dyDescent="0.2">
      <c r="L252" s="6" t="s">
        <v>701</v>
      </c>
    </row>
    <row r="253" spans="12:26" x14ac:dyDescent="0.2">
      <c r="L253" s="6" t="s">
        <v>702</v>
      </c>
    </row>
    <row r="254" spans="12:26" x14ac:dyDescent="0.2">
      <c r="L254" s="6" t="s">
        <v>703</v>
      </c>
    </row>
    <row r="255" spans="12:26" x14ac:dyDescent="0.2">
      <c r="L255" s="6" t="s">
        <v>704</v>
      </c>
    </row>
    <row r="256" spans="12:26" x14ac:dyDescent="0.2">
      <c r="L256" s="6" t="s">
        <v>705</v>
      </c>
    </row>
    <row r="257" spans="12:12" x14ac:dyDescent="0.2">
      <c r="L257" s="6" t="s">
        <v>706</v>
      </c>
    </row>
    <row r="258" spans="12:12" x14ac:dyDescent="0.2">
      <c r="L258" s="6" t="s">
        <v>707</v>
      </c>
    </row>
    <row r="259" spans="12:12" x14ac:dyDescent="0.2">
      <c r="L259" s="6" t="s">
        <v>708</v>
      </c>
    </row>
    <row r="260" spans="12:12" x14ac:dyDescent="0.2">
      <c r="L260" s="6" t="s">
        <v>709</v>
      </c>
    </row>
    <row r="261" spans="12:12" x14ac:dyDescent="0.2">
      <c r="L261" s="6" t="s">
        <v>384</v>
      </c>
    </row>
    <row r="262" spans="12:12" x14ac:dyDescent="0.2">
      <c r="L262" s="6" t="s">
        <v>710</v>
      </c>
    </row>
    <row r="263" spans="12:12" x14ac:dyDescent="0.2">
      <c r="L263" s="6" t="s">
        <v>711</v>
      </c>
    </row>
    <row r="264" spans="12:12" x14ac:dyDescent="0.2">
      <c r="L264" s="6" t="s">
        <v>712</v>
      </c>
    </row>
    <row r="265" spans="12:12" x14ac:dyDescent="0.2">
      <c r="L265" s="6" t="s">
        <v>713</v>
      </c>
    </row>
    <row r="266" spans="12:12" x14ac:dyDescent="0.2">
      <c r="L266" s="6" t="s">
        <v>714</v>
      </c>
    </row>
    <row r="267" spans="12:12" x14ac:dyDescent="0.2">
      <c r="L267" s="6" t="s">
        <v>715</v>
      </c>
    </row>
    <row r="268" spans="12:12" x14ac:dyDescent="0.2">
      <c r="L268" s="6" t="s">
        <v>716</v>
      </c>
    </row>
    <row r="269" spans="12:12" x14ac:dyDescent="0.2">
      <c r="L269" s="6" t="s">
        <v>717</v>
      </c>
    </row>
    <row r="270" spans="12:12" x14ac:dyDescent="0.2">
      <c r="L270" s="6" t="s">
        <v>718</v>
      </c>
    </row>
    <row r="271" spans="12:12" x14ac:dyDescent="0.2">
      <c r="L271" s="6" t="s">
        <v>719</v>
      </c>
    </row>
    <row r="272" spans="12:12" x14ac:dyDescent="0.2">
      <c r="L272" s="6" t="s">
        <v>720</v>
      </c>
    </row>
    <row r="273" spans="12:12" x14ac:dyDescent="0.2">
      <c r="L273" s="6" t="s">
        <v>721</v>
      </c>
    </row>
    <row r="274" spans="12:12" x14ac:dyDescent="0.2">
      <c r="L274" s="6" t="s">
        <v>722</v>
      </c>
    </row>
    <row r="275" spans="12:12" x14ac:dyDescent="0.2">
      <c r="L275" s="6" t="s">
        <v>723</v>
      </c>
    </row>
    <row r="276" spans="12:12" x14ac:dyDescent="0.2">
      <c r="L276" s="6" t="s">
        <v>724</v>
      </c>
    </row>
    <row r="277" spans="12:12" x14ac:dyDescent="0.2">
      <c r="L277" s="6" t="s">
        <v>725</v>
      </c>
    </row>
    <row r="278" spans="12:12" x14ac:dyDescent="0.2">
      <c r="L278" s="6" t="s">
        <v>726</v>
      </c>
    </row>
    <row r="279" spans="12:12" x14ac:dyDescent="0.2">
      <c r="L279" s="6" t="s">
        <v>727</v>
      </c>
    </row>
    <row r="280" spans="12:12" x14ac:dyDescent="0.2">
      <c r="L280" s="6" t="s">
        <v>728</v>
      </c>
    </row>
    <row r="281" spans="12:12" x14ac:dyDescent="0.2">
      <c r="L281" s="6" t="s">
        <v>729</v>
      </c>
    </row>
    <row r="282" spans="12:12" x14ac:dyDescent="0.2">
      <c r="L282" s="6" t="s">
        <v>730</v>
      </c>
    </row>
    <row r="283" spans="12:12" x14ac:dyDescent="0.2">
      <c r="L283" s="6" t="s">
        <v>731</v>
      </c>
    </row>
    <row r="284" spans="12:12" x14ac:dyDescent="0.2">
      <c r="L284" s="6" t="s">
        <v>732</v>
      </c>
    </row>
    <row r="285" spans="12:12" x14ac:dyDescent="0.2">
      <c r="L285" s="6" t="s">
        <v>733</v>
      </c>
    </row>
    <row r="286" spans="12:12" x14ac:dyDescent="0.2">
      <c r="L286" s="6" t="s">
        <v>734</v>
      </c>
    </row>
    <row r="287" spans="12:12" x14ac:dyDescent="0.2">
      <c r="L287" s="6" t="s">
        <v>735</v>
      </c>
    </row>
    <row r="288" spans="12:12" x14ac:dyDescent="0.2">
      <c r="L288" s="6" t="s">
        <v>736</v>
      </c>
    </row>
    <row r="289" spans="12:12" x14ac:dyDescent="0.2">
      <c r="L289" s="6" t="s">
        <v>737</v>
      </c>
    </row>
    <row r="290" spans="12:12" x14ac:dyDescent="0.2">
      <c r="L290" s="6" t="s">
        <v>738</v>
      </c>
    </row>
    <row r="291" spans="12:12" x14ac:dyDescent="0.2">
      <c r="L291" s="6" t="s">
        <v>739</v>
      </c>
    </row>
    <row r="292" spans="12:12" x14ac:dyDescent="0.2">
      <c r="L292" s="6" t="s">
        <v>740</v>
      </c>
    </row>
    <row r="293" spans="12:12" x14ac:dyDescent="0.2">
      <c r="L293" s="6" t="s">
        <v>741</v>
      </c>
    </row>
    <row r="294" spans="12:12" x14ac:dyDescent="0.2">
      <c r="L294" s="6" t="s">
        <v>742</v>
      </c>
    </row>
    <row r="295" spans="12:12" x14ac:dyDescent="0.2">
      <c r="L295" s="6" t="s">
        <v>743</v>
      </c>
    </row>
    <row r="296" spans="12:12" x14ac:dyDescent="0.2">
      <c r="L296" s="6" t="s">
        <v>744</v>
      </c>
    </row>
    <row r="297" spans="12:12" x14ac:dyDescent="0.2">
      <c r="L297" s="6" t="s">
        <v>745</v>
      </c>
    </row>
    <row r="298" spans="12:12" x14ac:dyDescent="0.2">
      <c r="L298" s="6" t="s">
        <v>746</v>
      </c>
    </row>
    <row r="299" spans="12:12" x14ac:dyDescent="0.2">
      <c r="L299" s="6" t="s">
        <v>747</v>
      </c>
    </row>
    <row r="300" spans="12:12" x14ac:dyDescent="0.2">
      <c r="L300" s="6" t="s">
        <v>748</v>
      </c>
    </row>
    <row r="301" spans="12:12" x14ac:dyDescent="0.2">
      <c r="L301" s="6" t="s">
        <v>749</v>
      </c>
    </row>
    <row r="302" spans="12:12" x14ac:dyDescent="0.2">
      <c r="L302" s="6" t="s">
        <v>750</v>
      </c>
    </row>
    <row r="303" spans="12:12" x14ac:dyDescent="0.2">
      <c r="L303" s="6" t="s">
        <v>751</v>
      </c>
    </row>
    <row r="304" spans="12:12" x14ac:dyDescent="0.2">
      <c r="L304" s="6" t="s">
        <v>752</v>
      </c>
    </row>
    <row r="305" spans="12:12" x14ac:dyDescent="0.2">
      <c r="L305" s="6" t="s">
        <v>753</v>
      </c>
    </row>
    <row r="306" spans="12:12" x14ac:dyDescent="0.2">
      <c r="L306" s="6" t="s">
        <v>754</v>
      </c>
    </row>
    <row r="307" spans="12:12" x14ac:dyDescent="0.2">
      <c r="L307" s="6" t="s">
        <v>755</v>
      </c>
    </row>
    <row r="308" spans="12:12" x14ac:dyDescent="0.2">
      <c r="L308" s="6" t="s">
        <v>756</v>
      </c>
    </row>
    <row r="309" spans="12:12" x14ac:dyDescent="0.2">
      <c r="L309" s="6" t="s">
        <v>757</v>
      </c>
    </row>
    <row r="310" spans="12:12" x14ac:dyDescent="0.2">
      <c r="L310" s="6" t="s">
        <v>758</v>
      </c>
    </row>
    <row r="311" spans="12:12" x14ac:dyDescent="0.2">
      <c r="L311" s="6" t="s">
        <v>759</v>
      </c>
    </row>
    <row r="312" spans="12:12" x14ac:dyDescent="0.2">
      <c r="L312" s="6" t="s">
        <v>760</v>
      </c>
    </row>
    <row r="313" spans="12:12" x14ac:dyDescent="0.2">
      <c r="L313" s="6" t="s">
        <v>761</v>
      </c>
    </row>
    <row r="314" spans="12:12" x14ac:dyDescent="0.2">
      <c r="L314" s="6" t="s">
        <v>762</v>
      </c>
    </row>
    <row r="315" spans="12:12" x14ac:dyDescent="0.2">
      <c r="L315" s="6" t="s">
        <v>763</v>
      </c>
    </row>
    <row r="316" spans="12:12" x14ac:dyDescent="0.2">
      <c r="L316" s="6" t="s">
        <v>764</v>
      </c>
    </row>
    <row r="317" spans="12:12" x14ac:dyDescent="0.2">
      <c r="L317" s="6" t="s">
        <v>765</v>
      </c>
    </row>
    <row r="318" spans="12:12" x14ac:dyDescent="0.2">
      <c r="L318" s="6" t="s">
        <v>766</v>
      </c>
    </row>
    <row r="319" spans="12:12" x14ac:dyDescent="0.2">
      <c r="L319" s="6" t="s">
        <v>767</v>
      </c>
    </row>
    <row r="320" spans="12:12" x14ac:dyDescent="0.2">
      <c r="L320" s="6" t="s">
        <v>768</v>
      </c>
    </row>
    <row r="321" spans="12:12" x14ac:dyDescent="0.2">
      <c r="L321" s="6" t="s">
        <v>769</v>
      </c>
    </row>
    <row r="322" spans="12:12" x14ac:dyDescent="0.2">
      <c r="L322" s="6" t="s">
        <v>770</v>
      </c>
    </row>
    <row r="323" spans="12:12" x14ac:dyDescent="0.2">
      <c r="L323" s="6" t="s">
        <v>771</v>
      </c>
    </row>
    <row r="324" spans="12:12" x14ac:dyDescent="0.2">
      <c r="L324" s="6" t="s">
        <v>772</v>
      </c>
    </row>
    <row r="325" spans="12:12" x14ac:dyDescent="0.2">
      <c r="L325" s="6" t="s">
        <v>773</v>
      </c>
    </row>
    <row r="326" spans="12:12" x14ac:dyDescent="0.2">
      <c r="L326" s="6" t="s">
        <v>774</v>
      </c>
    </row>
    <row r="327" spans="12:12" x14ac:dyDescent="0.2">
      <c r="L327" s="6" t="s">
        <v>775</v>
      </c>
    </row>
    <row r="328" spans="12:12" x14ac:dyDescent="0.2">
      <c r="L328" s="6" t="s">
        <v>776</v>
      </c>
    </row>
    <row r="329" spans="12:12" x14ac:dyDescent="0.2">
      <c r="L329" s="6" t="s">
        <v>777</v>
      </c>
    </row>
    <row r="330" spans="12:12" x14ac:dyDescent="0.2">
      <c r="L330" s="6" t="s">
        <v>778</v>
      </c>
    </row>
    <row r="331" spans="12:12" x14ac:dyDescent="0.2">
      <c r="L331" s="6" t="s">
        <v>779</v>
      </c>
    </row>
    <row r="332" spans="12:12" x14ac:dyDescent="0.2">
      <c r="L332" s="6" t="s">
        <v>780</v>
      </c>
    </row>
    <row r="333" spans="12:12" x14ac:dyDescent="0.2">
      <c r="L333" s="6" t="s">
        <v>781</v>
      </c>
    </row>
    <row r="334" spans="12:12" x14ac:dyDescent="0.2">
      <c r="L334" s="6" t="s">
        <v>782</v>
      </c>
    </row>
    <row r="335" spans="12:12" x14ac:dyDescent="0.2">
      <c r="L335" s="6" t="s">
        <v>783</v>
      </c>
    </row>
    <row r="336" spans="12:12" x14ac:dyDescent="0.2">
      <c r="L336" s="6" t="s">
        <v>784</v>
      </c>
    </row>
    <row r="337" spans="12:12" x14ac:dyDescent="0.2">
      <c r="L337" s="6" t="s">
        <v>785</v>
      </c>
    </row>
    <row r="338" spans="12:12" x14ac:dyDescent="0.2">
      <c r="L338" s="6" t="s">
        <v>786</v>
      </c>
    </row>
    <row r="339" spans="12:12" x14ac:dyDescent="0.2">
      <c r="L339" s="6" t="s">
        <v>787</v>
      </c>
    </row>
    <row r="340" spans="12:12" x14ac:dyDescent="0.2">
      <c r="L340" s="6" t="s">
        <v>788</v>
      </c>
    </row>
    <row r="341" spans="12:12" x14ac:dyDescent="0.2">
      <c r="L341" s="6" t="s">
        <v>789</v>
      </c>
    </row>
    <row r="342" spans="12:12" x14ac:dyDescent="0.2">
      <c r="L342" s="6" t="s">
        <v>790</v>
      </c>
    </row>
    <row r="343" spans="12:12" x14ac:dyDescent="0.2">
      <c r="L343" s="6" t="s">
        <v>791</v>
      </c>
    </row>
    <row r="344" spans="12:12" x14ac:dyDescent="0.2">
      <c r="L344" s="6" t="s">
        <v>792</v>
      </c>
    </row>
    <row r="345" spans="12:12" x14ac:dyDescent="0.2">
      <c r="L345" s="6" t="s">
        <v>793</v>
      </c>
    </row>
    <row r="346" spans="12:12" x14ac:dyDescent="0.2">
      <c r="L346" s="6" t="s">
        <v>794</v>
      </c>
    </row>
    <row r="347" spans="12:12" x14ac:dyDescent="0.2">
      <c r="L347" s="6" t="s">
        <v>795</v>
      </c>
    </row>
    <row r="348" spans="12:12" x14ac:dyDescent="0.2">
      <c r="L348" s="6" t="s">
        <v>796</v>
      </c>
    </row>
    <row r="349" spans="12:12" x14ac:dyDescent="0.2">
      <c r="L349" s="6" t="s">
        <v>797</v>
      </c>
    </row>
    <row r="350" spans="12:12" x14ac:dyDescent="0.2">
      <c r="L350" s="6" t="s">
        <v>798</v>
      </c>
    </row>
    <row r="351" spans="12:12" x14ac:dyDescent="0.2">
      <c r="L351" s="6" t="s">
        <v>799</v>
      </c>
    </row>
    <row r="352" spans="12:12" x14ac:dyDescent="0.2">
      <c r="L352" s="6" t="s">
        <v>800</v>
      </c>
    </row>
    <row r="353" spans="12:12" x14ac:dyDescent="0.2">
      <c r="L353" s="6" t="s">
        <v>801</v>
      </c>
    </row>
    <row r="354" spans="12:12" x14ac:dyDescent="0.2">
      <c r="L354" s="6" t="s">
        <v>802</v>
      </c>
    </row>
    <row r="355" spans="12:12" x14ac:dyDescent="0.2">
      <c r="L355" s="6" t="s">
        <v>803</v>
      </c>
    </row>
    <row r="356" spans="12:12" x14ac:dyDescent="0.2">
      <c r="L356" s="6" t="s">
        <v>804</v>
      </c>
    </row>
    <row r="357" spans="12:12" x14ac:dyDescent="0.2">
      <c r="L357" s="6" t="s">
        <v>805</v>
      </c>
    </row>
    <row r="358" spans="12:12" x14ac:dyDescent="0.2">
      <c r="L358" s="6" t="s">
        <v>806</v>
      </c>
    </row>
    <row r="359" spans="12:12" x14ac:dyDescent="0.2">
      <c r="L359" s="6" t="s">
        <v>807</v>
      </c>
    </row>
    <row r="360" spans="12:12" x14ac:dyDescent="0.2">
      <c r="L360" s="6" t="s">
        <v>808</v>
      </c>
    </row>
    <row r="361" spans="12:12" x14ac:dyDescent="0.2">
      <c r="L361" s="6" t="s">
        <v>809</v>
      </c>
    </row>
    <row r="362" spans="12:12" x14ac:dyDescent="0.2">
      <c r="L362" s="6" t="s">
        <v>810</v>
      </c>
    </row>
    <row r="363" spans="12:12" x14ac:dyDescent="0.2">
      <c r="L363" s="6" t="s">
        <v>811</v>
      </c>
    </row>
    <row r="364" spans="12:12" x14ac:dyDescent="0.2">
      <c r="L364" s="6" t="s">
        <v>812</v>
      </c>
    </row>
    <row r="365" spans="12:12" x14ac:dyDescent="0.2">
      <c r="L365" s="6" t="s">
        <v>813</v>
      </c>
    </row>
    <row r="366" spans="12:12" x14ac:dyDescent="0.2">
      <c r="L366" s="6" t="s">
        <v>814</v>
      </c>
    </row>
    <row r="367" spans="12:12" x14ac:dyDescent="0.2">
      <c r="L367" s="6" t="s">
        <v>815</v>
      </c>
    </row>
    <row r="368" spans="12:12" x14ac:dyDescent="0.2">
      <c r="L368" s="6" t="s">
        <v>816</v>
      </c>
    </row>
    <row r="369" spans="12:12" x14ac:dyDescent="0.2">
      <c r="L369" s="6" t="s">
        <v>817</v>
      </c>
    </row>
    <row r="370" spans="12:12" x14ac:dyDescent="0.2">
      <c r="L370" s="6" t="s">
        <v>818</v>
      </c>
    </row>
    <row r="371" spans="12:12" x14ac:dyDescent="0.2">
      <c r="L371" s="6" t="s">
        <v>819</v>
      </c>
    </row>
    <row r="372" spans="12:12" x14ac:dyDescent="0.2">
      <c r="L372" s="6" t="s">
        <v>820</v>
      </c>
    </row>
    <row r="373" spans="12:12" x14ac:dyDescent="0.2">
      <c r="L373" s="6" t="s">
        <v>821</v>
      </c>
    </row>
    <row r="374" spans="12:12" x14ac:dyDescent="0.2">
      <c r="L374" s="6" t="s">
        <v>822</v>
      </c>
    </row>
    <row r="375" spans="12:12" x14ac:dyDescent="0.2">
      <c r="L375" s="6" t="s">
        <v>823</v>
      </c>
    </row>
    <row r="376" spans="12:12" x14ac:dyDescent="0.2">
      <c r="L376" s="6" t="s">
        <v>824</v>
      </c>
    </row>
    <row r="377" spans="12:12" x14ac:dyDescent="0.2">
      <c r="L377" s="6" t="s">
        <v>825</v>
      </c>
    </row>
    <row r="378" spans="12:12" x14ac:dyDescent="0.2">
      <c r="L378" s="6" t="s">
        <v>826</v>
      </c>
    </row>
    <row r="379" spans="12:12" x14ac:dyDescent="0.2">
      <c r="L379" s="6" t="s">
        <v>827</v>
      </c>
    </row>
    <row r="380" spans="12:12" x14ac:dyDescent="0.2">
      <c r="L380" s="6" t="s">
        <v>828</v>
      </c>
    </row>
    <row r="381" spans="12:12" x14ac:dyDescent="0.2">
      <c r="L381" s="6" t="s">
        <v>829</v>
      </c>
    </row>
    <row r="382" spans="12:12" x14ac:dyDescent="0.2">
      <c r="L382" s="6" t="s">
        <v>830</v>
      </c>
    </row>
    <row r="383" spans="12:12" x14ac:dyDescent="0.2">
      <c r="L383" s="6" t="s">
        <v>831</v>
      </c>
    </row>
    <row r="384" spans="12:12" x14ac:dyDescent="0.2">
      <c r="L384" s="6" t="s">
        <v>832</v>
      </c>
    </row>
    <row r="385" spans="12:12" x14ac:dyDescent="0.2">
      <c r="L385" s="6" t="s">
        <v>833</v>
      </c>
    </row>
    <row r="386" spans="12:12" x14ac:dyDescent="0.2">
      <c r="L386" s="6" t="s">
        <v>834</v>
      </c>
    </row>
    <row r="387" spans="12:12" x14ac:dyDescent="0.2">
      <c r="L387" s="6" t="s">
        <v>835</v>
      </c>
    </row>
    <row r="388" spans="12:12" x14ac:dyDescent="0.2">
      <c r="L388" s="6" t="s">
        <v>836</v>
      </c>
    </row>
    <row r="389" spans="12:12" x14ac:dyDescent="0.2">
      <c r="L389" s="6" t="s">
        <v>837</v>
      </c>
    </row>
    <row r="390" spans="12:12" x14ac:dyDescent="0.2">
      <c r="L390" s="6" t="s">
        <v>838</v>
      </c>
    </row>
    <row r="391" spans="12:12" x14ac:dyDescent="0.2">
      <c r="L391" s="6" t="s">
        <v>839</v>
      </c>
    </row>
    <row r="392" spans="12:12" x14ac:dyDescent="0.2">
      <c r="L392" s="6" t="s">
        <v>840</v>
      </c>
    </row>
    <row r="393" spans="12:12" x14ac:dyDescent="0.2">
      <c r="L393" s="6" t="s">
        <v>841</v>
      </c>
    </row>
    <row r="394" spans="12:12" x14ac:dyDescent="0.2">
      <c r="L394" s="6" t="s">
        <v>842</v>
      </c>
    </row>
    <row r="395" spans="12:12" x14ac:dyDescent="0.2">
      <c r="L395" s="6" t="s">
        <v>843</v>
      </c>
    </row>
    <row r="396" spans="12:12" x14ac:dyDescent="0.2">
      <c r="L396" s="6" t="s">
        <v>844</v>
      </c>
    </row>
    <row r="397" spans="12:12" x14ac:dyDescent="0.2">
      <c r="L397" s="6" t="s">
        <v>845</v>
      </c>
    </row>
    <row r="398" spans="12:12" x14ac:dyDescent="0.2">
      <c r="L398" s="6" t="s">
        <v>846</v>
      </c>
    </row>
    <row r="399" spans="12:12" x14ac:dyDescent="0.2">
      <c r="L399" s="6" t="s">
        <v>847</v>
      </c>
    </row>
    <row r="400" spans="12:12" x14ac:dyDescent="0.2">
      <c r="L400" s="6" t="s">
        <v>848</v>
      </c>
    </row>
    <row r="401" spans="12:12" x14ac:dyDescent="0.2">
      <c r="L401" s="6" t="s">
        <v>849</v>
      </c>
    </row>
    <row r="402" spans="12:12" x14ac:dyDescent="0.2">
      <c r="L402" s="6" t="s">
        <v>850</v>
      </c>
    </row>
    <row r="403" spans="12:12" x14ac:dyDescent="0.2">
      <c r="L403" s="6" t="s">
        <v>851</v>
      </c>
    </row>
    <row r="404" spans="12:12" x14ac:dyDescent="0.2">
      <c r="L404" s="6" t="s">
        <v>852</v>
      </c>
    </row>
    <row r="405" spans="12:12" x14ac:dyDescent="0.2">
      <c r="L405" s="6" t="s">
        <v>853</v>
      </c>
    </row>
    <row r="406" spans="12:12" x14ac:dyDescent="0.2">
      <c r="L406" s="6" t="s">
        <v>854</v>
      </c>
    </row>
    <row r="407" spans="12:12" x14ac:dyDescent="0.2">
      <c r="L407" s="6" t="s">
        <v>855</v>
      </c>
    </row>
    <row r="408" spans="12:12" x14ac:dyDescent="0.2">
      <c r="L408" s="6" t="s">
        <v>856</v>
      </c>
    </row>
    <row r="409" spans="12:12" x14ac:dyDescent="0.2">
      <c r="L409" s="6" t="s">
        <v>857</v>
      </c>
    </row>
    <row r="410" spans="12:12" x14ac:dyDescent="0.2">
      <c r="L410" s="6" t="s">
        <v>858</v>
      </c>
    </row>
    <row r="411" spans="12:12" x14ac:dyDescent="0.2">
      <c r="L411" s="6" t="s">
        <v>859</v>
      </c>
    </row>
    <row r="412" spans="12:12" x14ac:dyDescent="0.2">
      <c r="L412" s="6" t="s">
        <v>860</v>
      </c>
    </row>
    <row r="413" spans="12:12" x14ac:dyDescent="0.2">
      <c r="L413" s="6" t="s">
        <v>861</v>
      </c>
    </row>
    <row r="414" spans="12:12" x14ac:dyDescent="0.2">
      <c r="L414" s="6" t="s">
        <v>862</v>
      </c>
    </row>
    <row r="415" spans="12:12" x14ac:dyDescent="0.2">
      <c r="L415" s="6" t="s">
        <v>863</v>
      </c>
    </row>
    <row r="416" spans="12:12" x14ac:dyDescent="0.2">
      <c r="L416" s="6" t="s">
        <v>864</v>
      </c>
    </row>
    <row r="417" spans="12:12" x14ac:dyDescent="0.2">
      <c r="L417" s="6" t="s">
        <v>865</v>
      </c>
    </row>
    <row r="418" spans="12:12" x14ac:dyDescent="0.2">
      <c r="L418" s="6" t="s">
        <v>866</v>
      </c>
    </row>
    <row r="419" spans="12:12" x14ac:dyDescent="0.2">
      <c r="L419" s="6" t="s">
        <v>867</v>
      </c>
    </row>
    <row r="420" spans="12:12" x14ac:dyDescent="0.2">
      <c r="L420" s="6" t="s">
        <v>868</v>
      </c>
    </row>
    <row r="421" spans="12:12" x14ac:dyDescent="0.2">
      <c r="L421" s="6" t="s">
        <v>869</v>
      </c>
    </row>
    <row r="422" spans="12:12" x14ac:dyDescent="0.2">
      <c r="L422" s="6" t="s">
        <v>870</v>
      </c>
    </row>
    <row r="423" spans="12:12" x14ac:dyDescent="0.2">
      <c r="L423" s="6" t="s">
        <v>871</v>
      </c>
    </row>
    <row r="424" spans="12:12" x14ac:dyDescent="0.2">
      <c r="L424" s="6" t="s">
        <v>872</v>
      </c>
    </row>
    <row r="425" spans="12:12" x14ac:dyDescent="0.2">
      <c r="L425" s="6" t="s">
        <v>873</v>
      </c>
    </row>
    <row r="426" spans="12:12" x14ac:dyDescent="0.2">
      <c r="L426" s="6" t="s">
        <v>874</v>
      </c>
    </row>
    <row r="427" spans="12:12" x14ac:dyDescent="0.2">
      <c r="L427" s="6" t="s">
        <v>875</v>
      </c>
    </row>
    <row r="428" spans="12:12" x14ac:dyDescent="0.2">
      <c r="L428" s="6" t="s">
        <v>876</v>
      </c>
    </row>
    <row r="429" spans="12:12" x14ac:dyDescent="0.2">
      <c r="L429" s="6" t="s">
        <v>877</v>
      </c>
    </row>
    <row r="430" spans="12:12" x14ac:dyDescent="0.2">
      <c r="L430" s="6" t="s">
        <v>878</v>
      </c>
    </row>
    <row r="431" spans="12:12" x14ac:dyDescent="0.2">
      <c r="L431" s="6" t="s">
        <v>879</v>
      </c>
    </row>
    <row r="432" spans="12:12" x14ac:dyDescent="0.2">
      <c r="L432" s="6" t="s">
        <v>880</v>
      </c>
    </row>
    <row r="433" spans="12:12" x14ac:dyDescent="0.2">
      <c r="L433" s="6" t="s">
        <v>881</v>
      </c>
    </row>
    <row r="434" spans="12:12" x14ac:dyDescent="0.2">
      <c r="L434" s="6" t="s">
        <v>882</v>
      </c>
    </row>
    <row r="435" spans="12:12" x14ac:dyDescent="0.2">
      <c r="L435" s="6" t="s">
        <v>883</v>
      </c>
    </row>
    <row r="436" spans="12:12" x14ac:dyDescent="0.2">
      <c r="L436" s="6" t="s">
        <v>884</v>
      </c>
    </row>
    <row r="437" spans="12:12" x14ac:dyDescent="0.2">
      <c r="L437" s="6" t="s">
        <v>885</v>
      </c>
    </row>
    <row r="438" spans="12:12" x14ac:dyDescent="0.2">
      <c r="L438" s="6" t="s">
        <v>886</v>
      </c>
    </row>
    <row r="439" spans="12:12" x14ac:dyDescent="0.2">
      <c r="L439" s="6" t="s">
        <v>887</v>
      </c>
    </row>
    <row r="440" spans="12:12" x14ac:dyDescent="0.2">
      <c r="L440" s="6" t="s">
        <v>888</v>
      </c>
    </row>
    <row r="441" spans="12:12" x14ac:dyDescent="0.2">
      <c r="L441" s="6" t="s">
        <v>889</v>
      </c>
    </row>
    <row r="442" spans="12:12" x14ac:dyDescent="0.2">
      <c r="L442" s="6" t="s">
        <v>890</v>
      </c>
    </row>
    <row r="443" spans="12:12" x14ac:dyDescent="0.2">
      <c r="L443" s="6" t="s">
        <v>891</v>
      </c>
    </row>
    <row r="444" spans="12:12" x14ac:dyDescent="0.2">
      <c r="L444" s="6" t="s">
        <v>892</v>
      </c>
    </row>
    <row r="445" spans="12:12" x14ac:dyDescent="0.2">
      <c r="L445" s="6" t="s">
        <v>893</v>
      </c>
    </row>
    <row r="446" spans="12:12" x14ac:dyDescent="0.2">
      <c r="L446" s="6" t="s">
        <v>894</v>
      </c>
    </row>
    <row r="447" spans="12:12" x14ac:dyDescent="0.2">
      <c r="L447" s="6" t="s">
        <v>895</v>
      </c>
    </row>
    <row r="448" spans="12:12" x14ac:dyDescent="0.2">
      <c r="L448" s="6" t="s">
        <v>896</v>
      </c>
    </row>
    <row r="449" spans="12:12" x14ac:dyDescent="0.2">
      <c r="L449" s="6" t="s">
        <v>897</v>
      </c>
    </row>
    <row r="450" spans="12:12" x14ac:dyDescent="0.2">
      <c r="L450" s="6" t="s">
        <v>898</v>
      </c>
    </row>
    <row r="451" spans="12:12" x14ac:dyDescent="0.2">
      <c r="L451" s="6" t="s">
        <v>899</v>
      </c>
    </row>
    <row r="452" spans="12:12" x14ac:dyDescent="0.2">
      <c r="L452" s="6" t="s">
        <v>900</v>
      </c>
    </row>
    <row r="453" spans="12:12" x14ac:dyDescent="0.2">
      <c r="L453" s="6" t="s">
        <v>901</v>
      </c>
    </row>
    <row r="454" spans="12:12" x14ac:dyDescent="0.2">
      <c r="L454" s="6" t="s">
        <v>902</v>
      </c>
    </row>
    <row r="455" spans="12:12" x14ac:dyDescent="0.2">
      <c r="L455" s="6" t="s">
        <v>903</v>
      </c>
    </row>
    <row r="456" spans="12:12" x14ac:dyDescent="0.2">
      <c r="L456" s="6" t="s">
        <v>904</v>
      </c>
    </row>
    <row r="457" spans="12:12" x14ac:dyDescent="0.2">
      <c r="L457" s="6" t="s">
        <v>905</v>
      </c>
    </row>
    <row r="458" spans="12:12" x14ac:dyDescent="0.2">
      <c r="L458" s="6" t="s">
        <v>906</v>
      </c>
    </row>
    <row r="459" spans="12:12" x14ac:dyDescent="0.2">
      <c r="L459" s="6" t="s">
        <v>907</v>
      </c>
    </row>
    <row r="460" spans="12:12" x14ac:dyDescent="0.2">
      <c r="L460" s="6" t="s">
        <v>908</v>
      </c>
    </row>
    <row r="461" spans="12:12" x14ac:dyDescent="0.2">
      <c r="L461" s="6" t="s">
        <v>909</v>
      </c>
    </row>
    <row r="462" spans="12:12" x14ac:dyDescent="0.2">
      <c r="L462" s="6" t="s">
        <v>910</v>
      </c>
    </row>
    <row r="463" spans="12:12" x14ac:dyDescent="0.2">
      <c r="L463" s="6" t="s">
        <v>911</v>
      </c>
    </row>
    <row r="464" spans="12:12" x14ac:dyDescent="0.2">
      <c r="L464" s="6" t="s">
        <v>912</v>
      </c>
    </row>
    <row r="465" spans="12:12" x14ac:dyDescent="0.2">
      <c r="L465" s="6" t="s">
        <v>913</v>
      </c>
    </row>
    <row r="466" spans="12:12" x14ac:dyDescent="0.2">
      <c r="L466" s="6" t="s">
        <v>914</v>
      </c>
    </row>
    <row r="467" spans="12:12" x14ac:dyDescent="0.2">
      <c r="L467" s="6" t="s">
        <v>915</v>
      </c>
    </row>
    <row r="468" spans="12:12" x14ac:dyDescent="0.2">
      <c r="L468" s="6" t="s">
        <v>916</v>
      </c>
    </row>
    <row r="469" spans="12:12" x14ac:dyDescent="0.2">
      <c r="L469" s="6" t="s">
        <v>917</v>
      </c>
    </row>
    <row r="470" spans="12:12" x14ac:dyDescent="0.2">
      <c r="L470" s="6" t="s">
        <v>918</v>
      </c>
    </row>
    <row r="471" spans="12:12" x14ac:dyDescent="0.2">
      <c r="L471" s="6" t="s">
        <v>919</v>
      </c>
    </row>
    <row r="472" spans="12:12" x14ac:dyDescent="0.2">
      <c r="L472" s="6" t="s">
        <v>920</v>
      </c>
    </row>
    <row r="473" spans="12:12" x14ac:dyDescent="0.2">
      <c r="L473" s="6" t="s">
        <v>921</v>
      </c>
    </row>
    <row r="474" spans="12:12" x14ac:dyDescent="0.2">
      <c r="L474" s="6" t="s">
        <v>922</v>
      </c>
    </row>
    <row r="475" spans="12:12" x14ac:dyDescent="0.2">
      <c r="L475" s="6" t="s">
        <v>923</v>
      </c>
    </row>
    <row r="476" spans="12:12" x14ac:dyDescent="0.2">
      <c r="L476" s="6" t="s">
        <v>924</v>
      </c>
    </row>
    <row r="477" spans="12:12" x14ac:dyDescent="0.2">
      <c r="L477" s="6" t="s">
        <v>925</v>
      </c>
    </row>
    <row r="478" spans="12:12" x14ac:dyDescent="0.2">
      <c r="L478" s="6" t="s">
        <v>926</v>
      </c>
    </row>
    <row r="479" spans="12:12" x14ac:dyDescent="0.2">
      <c r="L479" s="6" t="s">
        <v>927</v>
      </c>
    </row>
    <row r="480" spans="12:12" x14ac:dyDescent="0.2">
      <c r="L480" s="6" t="s">
        <v>928</v>
      </c>
    </row>
    <row r="481" spans="12:12" x14ac:dyDescent="0.2">
      <c r="L481" s="6" t="s">
        <v>929</v>
      </c>
    </row>
    <row r="482" spans="12:12" x14ac:dyDescent="0.2">
      <c r="L482" s="6" t="s">
        <v>930</v>
      </c>
    </row>
    <row r="483" spans="12:12" x14ac:dyDescent="0.2">
      <c r="L483" s="6" t="s">
        <v>931</v>
      </c>
    </row>
    <row r="484" spans="12:12" x14ac:dyDescent="0.2">
      <c r="L484" s="6" t="s">
        <v>932</v>
      </c>
    </row>
    <row r="485" spans="12:12" x14ac:dyDescent="0.2">
      <c r="L485" s="6" t="s">
        <v>933</v>
      </c>
    </row>
    <row r="486" spans="12:12" x14ac:dyDescent="0.2">
      <c r="L486" s="6" t="s">
        <v>934</v>
      </c>
    </row>
    <row r="487" spans="12:12" x14ac:dyDescent="0.2">
      <c r="L487" s="6" t="s">
        <v>935</v>
      </c>
    </row>
    <row r="488" spans="12:12" x14ac:dyDescent="0.2">
      <c r="L488" s="6" t="s">
        <v>936</v>
      </c>
    </row>
    <row r="489" spans="12:12" x14ac:dyDescent="0.2">
      <c r="L489" s="6" t="s">
        <v>937</v>
      </c>
    </row>
    <row r="490" spans="12:12" x14ac:dyDescent="0.2">
      <c r="L490" s="6" t="s">
        <v>938</v>
      </c>
    </row>
    <row r="491" spans="12:12" x14ac:dyDescent="0.2">
      <c r="L491" s="6" t="s">
        <v>939</v>
      </c>
    </row>
    <row r="492" spans="12:12" x14ac:dyDescent="0.2">
      <c r="L492" s="6" t="s">
        <v>940</v>
      </c>
    </row>
    <row r="493" spans="12:12" x14ac:dyDescent="0.2">
      <c r="L493" s="6" t="s">
        <v>941</v>
      </c>
    </row>
    <row r="494" spans="12:12" x14ac:dyDescent="0.2">
      <c r="L494" s="6" t="s">
        <v>942</v>
      </c>
    </row>
    <row r="495" spans="12:12" x14ac:dyDescent="0.2">
      <c r="L495" s="6" t="s">
        <v>943</v>
      </c>
    </row>
    <row r="496" spans="12:12" x14ac:dyDescent="0.2">
      <c r="L496" s="6" t="s">
        <v>944</v>
      </c>
    </row>
    <row r="497" spans="12:12" x14ac:dyDescent="0.2">
      <c r="L497" s="6" t="s">
        <v>945</v>
      </c>
    </row>
    <row r="498" spans="12:12" x14ac:dyDescent="0.2">
      <c r="L498" s="6" t="s">
        <v>946</v>
      </c>
    </row>
    <row r="499" spans="12:12" x14ac:dyDescent="0.2">
      <c r="L499" s="6" t="s">
        <v>947</v>
      </c>
    </row>
    <row r="500" spans="12:12" x14ac:dyDescent="0.2">
      <c r="L500" s="6" t="s">
        <v>948</v>
      </c>
    </row>
    <row r="501" spans="12:12" x14ac:dyDescent="0.2">
      <c r="L501" s="6" t="s">
        <v>949</v>
      </c>
    </row>
    <row r="502" spans="12:12" x14ac:dyDescent="0.2">
      <c r="L502" s="6" t="s">
        <v>950</v>
      </c>
    </row>
    <row r="503" spans="12:12" x14ac:dyDescent="0.2">
      <c r="L503" s="6" t="s">
        <v>951</v>
      </c>
    </row>
    <row r="504" spans="12:12" x14ac:dyDescent="0.2">
      <c r="L504" s="6" t="s">
        <v>952</v>
      </c>
    </row>
    <row r="505" spans="12:12" x14ac:dyDescent="0.2">
      <c r="L505" s="6" t="s">
        <v>953</v>
      </c>
    </row>
    <row r="506" spans="12:12" x14ac:dyDescent="0.2">
      <c r="L506" s="6" t="s">
        <v>954</v>
      </c>
    </row>
    <row r="507" spans="12:12" x14ac:dyDescent="0.2">
      <c r="L507" s="6" t="s">
        <v>955</v>
      </c>
    </row>
    <row r="508" spans="12:12" x14ac:dyDescent="0.2">
      <c r="L508" s="6" t="s">
        <v>956</v>
      </c>
    </row>
    <row r="509" spans="12:12" x14ac:dyDescent="0.2">
      <c r="L509" s="6" t="s">
        <v>957</v>
      </c>
    </row>
    <row r="510" spans="12:12" x14ac:dyDescent="0.2">
      <c r="L510" s="6" t="s">
        <v>958</v>
      </c>
    </row>
    <row r="511" spans="12:12" x14ac:dyDescent="0.2">
      <c r="L511" s="6" t="s">
        <v>959</v>
      </c>
    </row>
    <row r="512" spans="12:12" x14ac:dyDescent="0.2">
      <c r="L512" s="6" t="s">
        <v>960</v>
      </c>
    </row>
    <row r="513" spans="12:12" x14ac:dyDescent="0.2">
      <c r="L513" s="6" t="s">
        <v>961</v>
      </c>
    </row>
    <row r="514" spans="12:12" x14ac:dyDescent="0.2">
      <c r="L514" s="6" t="s">
        <v>962</v>
      </c>
    </row>
    <row r="515" spans="12:12" x14ac:dyDescent="0.2">
      <c r="L515" s="6" t="s">
        <v>963</v>
      </c>
    </row>
    <row r="516" spans="12:12" x14ac:dyDescent="0.2">
      <c r="L516" s="6" t="s">
        <v>964</v>
      </c>
    </row>
    <row r="517" spans="12:12" x14ac:dyDescent="0.2">
      <c r="L517" s="6" t="s">
        <v>965</v>
      </c>
    </row>
    <row r="518" spans="12:12" x14ac:dyDescent="0.2">
      <c r="L518" s="6" t="s">
        <v>966</v>
      </c>
    </row>
    <row r="519" spans="12:12" x14ac:dyDescent="0.2">
      <c r="L519" s="6" t="s">
        <v>967</v>
      </c>
    </row>
    <row r="520" spans="12:12" x14ac:dyDescent="0.2">
      <c r="L520" s="6" t="s">
        <v>968</v>
      </c>
    </row>
    <row r="521" spans="12:12" x14ac:dyDescent="0.2">
      <c r="L521" s="6" t="s">
        <v>969</v>
      </c>
    </row>
    <row r="522" spans="12:12" x14ac:dyDescent="0.2">
      <c r="L522" s="6" t="s">
        <v>970</v>
      </c>
    </row>
    <row r="523" spans="12:12" x14ac:dyDescent="0.2">
      <c r="L523" s="6" t="s">
        <v>971</v>
      </c>
    </row>
    <row r="524" spans="12:12" x14ac:dyDescent="0.2">
      <c r="L524" s="6" t="s">
        <v>972</v>
      </c>
    </row>
    <row r="525" spans="12:12" x14ac:dyDescent="0.2">
      <c r="L525" s="6" t="s">
        <v>973</v>
      </c>
    </row>
    <row r="526" spans="12:12" x14ac:dyDescent="0.2">
      <c r="L526" s="6" t="s">
        <v>385</v>
      </c>
    </row>
    <row r="527" spans="12:12" x14ac:dyDescent="0.2">
      <c r="L527" s="6" t="s">
        <v>974</v>
      </c>
    </row>
    <row r="528" spans="12:12" x14ac:dyDescent="0.2">
      <c r="L528" s="6" t="s">
        <v>975</v>
      </c>
    </row>
    <row r="529" spans="12:12" x14ac:dyDescent="0.2">
      <c r="L529" s="6" t="s">
        <v>976</v>
      </c>
    </row>
    <row r="530" spans="12:12" x14ac:dyDescent="0.2">
      <c r="L530" s="6" t="s">
        <v>977</v>
      </c>
    </row>
    <row r="531" spans="12:12" x14ac:dyDescent="0.2">
      <c r="L531" s="6" t="s">
        <v>978</v>
      </c>
    </row>
    <row r="532" spans="12:12" x14ac:dyDescent="0.2">
      <c r="L532" s="6" t="s">
        <v>979</v>
      </c>
    </row>
    <row r="533" spans="12:12" x14ac:dyDescent="0.2">
      <c r="L533" s="6" t="s">
        <v>980</v>
      </c>
    </row>
    <row r="534" spans="12:12" x14ac:dyDescent="0.2">
      <c r="L534" s="6" t="s">
        <v>981</v>
      </c>
    </row>
    <row r="535" spans="12:12" x14ac:dyDescent="0.2">
      <c r="L535" s="6" t="s">
        <v>982</v>
      </c>
    </row>
    <row r="536" spans="12:12" x14ac:dyDescent="0.2">
      <c r="L536" s="6" t="s">
        <v>983</v>
      </c>
    </row>
    <row r="537" spans="12:12" x14ac:dyDescent="0.2">
      <c r="L537" s="6" t="s">
        <v>386</v>
      </c>
    </row>
    <row r="538" spans="12:12" x14ac:dyDescent="0.2">
      <c r="L538" s="6" t="s">
        <v>387</v>
      </c>
    </row>
    <row r="539" spans="12:12" x14ac:dyDescent="0.2">
      <c r="L539" s="6" t="s">
        <v>984</v>
      </c>
    </row>
    <row r="540" spans="12:12" x14ac:dyDescent="0.2">
      <c r="L540" s="6" t="s">
        <v>388</v>
      </c>
    </row>
    <row r="541" spans="12:12" x14ac:dyDescent="0.2">
      <c r="L541" s="6" t="s">
        <v>985</v>
      </c>
    </row>
    <row r="542" spans="12:12" x14ac:dyDescent="0.2">
      <c r="L542" s="6" t="s">
        <v>986</v>
      </c>
    </row>
    <row r="543" spans="12:12" x14ac:dyDescent="0.2">
      <c r="L543" s="6" t="s">
        <v>987</v>
      </c>
    </row>
    <row r="544" spans="12:12" x14ac:dyDescent="0.2">
      <c r="L544" s="6" t="s">
        <v>988</v>
      </c>
    </row>
    <row r="545" spans="12:12" x14ac:dyDescent="0.2">
      <c r="L545" s="6" t="s">
        <v>989</v>
      </c>
    </row>
    <row r="546" spans="12:12" x14ac:dyDescent="0.2">
      <c r="L546" s="6" t="s">
        <v>990</v>
      </c>
    </row>
    <row r="547" spans="12:12" x14ac:dyDescent="0.2">
      <c r="L547" s="6" t="s">
        <v>389</v>
      </c>
    </row>
    <row r="548" spans="12:12" x14ac:dyDescent="0.2">
      <c r="L548" s="6" t="s">
        <v>991</v>
      </c>
    </row>
    <row r="549" spans="12:12" x14ac:dyDescent="0.2">
      <c r="L549" s="6" t="s">
        <v>992</v>
      </c>
    </row>
    <row r="550" spans="12:12" x14ac:dyDescent="0.2">
      <c r="L550" s="6" t="s">
        <v>390</v>
      </c>
    </row>
    <row r="551" spans="12:12" x14ac:dyDescent="0.2">
      <c r="L551" s="6" t="s">
        <v>993</v>
      </c>
    </row>
    <row r="552" spans="12:12" x14ac:dyDescent="0.2">
      <c r="L552" s="6" t="s">
        <v>994</v>
      </c>
    </row>
    <row r="553" spans="12:12" x14ac:dyDescent="0.2">
      <c r="L553" s="6" t="s">
        <v>391</v>
      </c>
    </row>
    <row r="554" spans="12:12" x14ac:dyDescent="0.2">
      <c r="L554" s="6" t="s">
        <v>995</v>
      </c>
    </row>
    <row r="555" spans="12:12" x14ac:dyDescent="0.2">
      <c r="L555" s="6" t="s">
        <v>996</v>
      </c>
    </row>
    <row r="556" spans="12:12" x14ac:dyDescent="0.2">
      <c r="L556" s="6" t="s">
        <v>997</v>
      </c>
    </row>
    <row r="557" spans="12:12" x14ac:dyDescent="0.2">
      <c r="L557" s="6" t="s">
        <v>392</v>
      </c>
    </row>
    <row r="558" spans="12:12" x14ac:dyDescent="0.2">
      <c r="L558" s="6" t="s">
        <v>393</v>
      </c>
    </row>
    <row r="559" spans="12:12" x14ac:dyDescent="0.2">
      <c r="L559" s="6" t="s">
        <v>394</v>
      </c>
    </row>
    <row r="560" spans="12:12" x14ac:dyDescent="0.2">
      <c r="L560" s="6" t="s">
        <v>395</v>
      </c>
    </row>
    <row r="561" spans="12:12" x14ac:dyDescent="0.2">
      <c r="L561" s="6" t="s">
        <v>396</v>
      </c>
    </row>
    <row r="562" spans="12:12" x14ac:dyDescent="0.2">
      <c r="L562" s="6" t="s">
        <v>397</v>
      </c>
    </row>
    <row r="563" spans="12:12" x14ac:dyDescent="0.2">
      <c r="L563" s="6" t="s">
        <v>398</v>
      </c>
    </row>
    <row r="564" spans="12:12" x14ac:dyDescent="0.2">
      <c r="L564" s="6" t="s">
        <v>399</v>
      </c>
    </row>
    <row r="565" spans="12:12" x14ac:dyDescent="0.2">
      <c r="L565" s="6" t="s">
        <v>400</v>
      </c>
    </row>
    <row r="566" spans="12:12" x14ac:dyDescent="0.2">
      <c r="L566" s="6" t="s">
        <v>401</v>
      </c>
    </row>
    <row r="567" spans="12:12" x14ac:dyDescent="0.2">
      <c r="L567" s="6" t="s">
        <v>402</v>
      </c>
    </row>
    <row r="568" spans="12:12" x14ac:dyDescent="0.2">
      <c r="L568" s="6" t="s">
        <v>403</v>
      </c>
    </row>
    <row r="569" spans="12:12" x14ac:dyDescent="0.2">
      <c r="L569" s="6" t="s">
        <v>404</v>
      </c>
    </row>
    <row r="570" spans="12:12" x14ac:dyDescent="0.2">
      <c r="L570" s="6" t="s">
        <v>998</v>
      </c>
    </row>
    <row r="571" spans="12:12" x14ac:dyDescent="0.2">
      <c r="L571" s="6" t="s">
        <v>999</v>
      </c>
    </row>
    <row r="572" spans="12:12" x14ac:dyDescent="0.2">
      <c r="L572" s="6" t="s">
        <v>1000</v>
      </c>
    </row>
    <row r="573" spans="12:12" x14ac:dyDescent="0.2">
      <c r="L573" s="6" t="s">
        <v>1001</v>
      </c>
    </row>
    <row r="574" spans="12:12" x14ac:dyDescent="0.2">
      <c r="L574" s="6" t="s">
        <v>1002</v>
      </c>
    </row>
    <row r="575" spans="12:12" x14ac:dyDescent="0.2">
      <c r="L575" s="6" t="s">
        <v>1003</v>
      </c>
    </row>
    <row r="576" spans="12:12" x14ac:dyDescent="0.2">
      <c r="L576" s="6" t="s">
        <v>1004</v>
      </c>
    </row>
    <row r="577" spans="12:12" x14ac:dyDescent="0.2">
      <c r="L577" s="6" t="s">
        <v>1005</v>
      </c>
    </row>
    <row r="578" spans="12:12" x14ac:dyDescent="0.2">
      <c r="L578" s="6" t="s">
        <v>1006</v>
      </c>
    </row>
    <row r="579" spans="12:12" x14ac:dyDescent="0.2">
      <c r="L579" s="6" t="s">
        <v>1007</v>
      </c>
    </row>
    <row r="580" spans="12:12" x14ac:dyDescent="0.2">
      <c r="L580" s="6" t="s">
        <v>1008</v>
      </c>
    </row>
    <row r="581" spans="12:12" x14ac:dyDescent="0.2">
      <c r="L581" s="6" t="s">
        <v>1009</v>
      </c>
    </row>
    <row r="582" spans="12:12" x14ac:dyDescent="0.2">
      <c r="L582" s="6" t="s">
        <v>405</v>
      </c>
    </row>
    <row r="583" spans="12:12" x14ac:dyDescent="0.2">
      <c r="L583" s="6" t="s">
        <v>1010</v>
      </c>
    </row>
    <row r="584" spans="12:12" x14ac:dyDescent="0.2">
      <c r="L584" s="6" t="s">
        <v>1011</v>
      </c>
    </row>
    <row r="585" spans="12:12" x14ac:dyDescent="0.2">
      <c r="L585" s="6" t="s">
        <v>1012</v>
      </c>
    </row>
    <row r="586" spans="12:12" x14ac:dyDescent="0.2">
      <c r="L586" s="6" t="s">
        <v>1013</v>
      </c>
    </row>
    <row r="587" spans="12:12" x14ac:dyDescent="0.2">
      <c r="L587" s="6" t="s">
        <v>1014</v>
      </c>
    </row>
    <row r="588" spans="12:12" x14ac:dyDescent="0.2">
      <c r="L588" s="6" t="s">
        <v>1015</v>
      </c>
    </row>
    <row r="589" spans="12:12" x14ac:dyDescent="0.2">
      <c r="L589" s="6" t="s">
        <v>406</v>
      </c>
    </row>
    <row r="590" spans="12:12" x14ac:dyDescent="0.2">
      <c r="L590" s="6" t="s">
        <v>1016</v>
      </c>
    </row>
    <row r="591" spans="12:12" x14ac:dyDescent="0.2">
      <c r="L591" s="6" t="s">
        <v>1017</v>
      </c>
    </row>
    <row r="592" spans="12:12" x14ac:dyDescent="0.2">
      <c r="L592" s="6" t="s">
        <v>1018</v>
      </c>
    </row>
    <row r="593" spans="12:12" x14ac:dyDescent="0.2">
      <c r="L593" s="6" t="s">
        <v>1019</v>
      </c>
    </row>
    <row r="594" spans="12:12" x14ac:dyDescent="0.2">
      <c r="L594" s="6" t="s">
        <v>1020</v>
      </c>
    </row>
    <row r="595" spans="12:12" x14ac:dyDescent="0.2">
      <c r="L595" s="6" t="s">
        <v>1021</v>
      </c>
    </row>
    <row r="596" spans="12:12" x14ac:dyDescent="0.2">
      <c r="L596" s="6" t="s">
        <v>1022</v>
      </c>
    </row>
    <row r="597" spans="12:12" x14ac:dyDescent="0.2">
      <c r="L597" s="6" t="s">
        <v>1023</v>
      </c>
    </row>
    <row r="598" spans="12:12" x14ac:dyDescent="0.2">
      <c r="L598" s="6" t="s">
        <v>1024</v>
      </c>
    </row>
    <row r="599" spans="12:12" x14ac:dyDescent="0.2">
      <c r="L599" s="6" t="s">
        <v>1025</v>
      </c>
    </row>
    <row r="600" spans="12:12" x14ac:dyDescent="0.2">
      <c r="L600" s="6" t="s">
        <v>1026</v>
      </c>
    </row>
    <row r="601" spans="12:12" x14ac:dyDescent="0.2">
      <c r="L601" s="6" t="s">
        <v>1027</v>
      </c>
    </row>
    <row r="602" spans="12:12" x14ac:dyDescent="0.2">
      <c r="L602" s="6" t="s">
        <v>1028</v>
      </c>
    </row>
    <row r="603" spans="12:12" x14ac:dyDescent="0.2">
      <c r="L603" s="6" t="s">
        <v>1029</v>
      </c>
    </row>
    <row r="604" spans="12:12" x14ac:dyDescent="0.2">
      <c r="L604" s="6" t="s">
        <v>1030</v>
      </c>
    </row>
    <row r="605" spans="12:12" x14ac:dyDescent="0.2">
      <c r="L605" s="6" t="s">
        <v>1031</v>
      </c>
    </row>
    <row r="606" spans="12:12" x14ac:dyDescent="0.2">
      <c r="L606" s="6" t="s">
        <v>1032</v>
      </c>
    </row>
    <row r="607" spans="12:12" x14ac:dyDescent="0.2">
      <c r="L607" s="6" t="s">
        <v>1033</v>
      </c>
    </row>
    <row r="608" spans="12:12" x14ac:dyDescent="0.2">
      <c r="L608" s="6" t="s">
        <v>1034</v>
      </c>
    </row>
    <row r="609" spans="12:12" x14ac:dyDescent="0.2">
      <c r="L609" s="6" t="s">
        <v>1035</v>
      </c>
    </row>
    <row r="610" spans="12:12" x14ac:dyDescent="0.2">
      <c r="L610" s="6" t="s">
        <v>407</v>
      </c>
    </row>
    <row r="611" spans="12:12" x14ac:dyDescent="0.2">
      <c r="L611" s="6" t="s">
        <v>1036</v>
      </c>
    </row>
    <row r="612" spans="12:12" x14ac:dyDescent="0.2">
      <c r="L612" s="6" t="s">
        <v>1037</v>
      </c>
    </row>
    <row r="613" spans="12:12" x14ac:dyDescent="0.2">
      <c r="L613" s="6" t="s">
        <v>1038</v>
      </c>
    </row>
    <row r="614" spans="12:12" x14ac:dyDescent="0.2">
      <c r="L614" s="6" t="s">
        <v>1039</v>
      </c>
    </row>
    <row r="615" spans="12:12" x14ac:dyDescent="0.2">
      <c r="L615" s="6" t="s">
        <v>1040</v>
      </c>
    </row>
    <row r="616" spans="12:12" x14ac:dyDescent="0.2">
      <c r="L616" s="6" t="s">
        <v>1041</v>
      </c>
    </row>
    <row r="617" spans="12:12" x14ac:dyDescent="0.2">
      <c r="L617" s="6" t="s">
        <v>1042</v>
      </c>
    </row>
    <row r="618" spans="12:12" x14ac:dyDescent="0.2">
      <c r="L618" s="6" t="s">
        <v>1043</v>
      </c>
    </row>
    <row r="619" spans="12:12" x14ac:dyDescent="0.2">
      <c r="L619" s="6" t="s">
        <v>1044</v>
      </c>
    </row>
    <row r="620" spans="12:12" x14ac:dyDescent="0.2">
      <c r="L620" s="6" t="s">
        <v>1045</v>
      </c>
    </row>
    <row r="621" spans="12:12" x14ac:dyDescent="0.2">
      <c r="L621" s="6" t="s">
        <v>1046</v>
      </c>
    </row>
    <row r="622" spans="12:12" x14ac:dyDescent="0.2">
      <c r="L622" s="6" t="s">
        <v>1047</v>
      </c>
    </row>
    <row r="623" spans="12:12" x14ac:dyDescent="0.2">
      <c r="L623" s="6" t="s">
        <v>1048</v>
      </c>
    </row>
    <row r="624" spans="12:12" x14ac:dyDescent="0.2">
      <c r="L624" s="6" t="s">
        <v>1049</v>
      </c>
    </row>
    <row r="625" spans="12:12" x14ac:dyDescent="0.2">
      <c r="L625" s="6" t="s">
        <v>1050</v>
      </c>
    </row>
    <row r="626" spans="12:12" x14ac:dyDescent="0.2">
      <c r="L626" s="6" t="s">
        <v>1051</v>
      </c>
    </row>
    <row r="627" spans="12:12" x14ac:dyDescent="0.2">
      <c r="L627" s="6" t="s">
        <v>1052</v>
      </c>
    </row>
    <row r="628" spans="12:12" x14ac:dyDescent="0.2">
      <c r="L628" s="6" t="s">
        <v>1053</v>
      </c>
    </row>
    <row r="629" spans="12:12" x14ac:dyDescent="0.2">
      <c r="L629" s="6" t="s">
        <v>1054</v>
      </c>
    </row>
    <row r="630" spans="12:12" x14ac:dyDescent="0.2">
      <c r="L630" s="6" t="s">
        <v>1055</v>
      </c>
    </row>
    <row r="631" spans="12:12" x14ac:dyDescent="0.2">
      <c r="L631" s="6" t="s">
        <v>1056</v>
      </c>
    </row>
    <row r="632" spans="12:12" x14ac:dyDescent="0.2">
      <c r="L632" s="6" t="s">
        <v>1057</v>
      </c>
    </row>
    <row r="633" spans="12:12" x14ac:dyDescent="0.2">
      <c r="L633" s="6" t="s">
        <v>1058</v>
      </c>
    </row>
    <row r="634" spans="12:12" x14ac:dyDescent="0.2">
      <c r="L634" s="6" t="s">
        <v>1059</v>
      </c>
    </row>
    <row r="635" spans="12:12" x14ac:dyDescent="0.2">
      <c r="L635" s="6" t="s">
        <v>1060</v>
      </c>
    </row>
    <row r="636" spans="12:12" x14ac:dyDescent="0.2">
      <c r="L636" s="6" t="s">
        <v>1061</v>
      </c>
    </row>
    <row r="637" spans="12:12" x14ac:dyDescent="0.2">
      <c r="L637" s="6" t="s">
        <v>1062</v>
      </c>
    </row>
    <row r="638" spans="12:12" x14ac:dyDescent="0.2">
      <c r="L638" s="6" t="s">
        <v>1063</v>
      </c>
    </row>
    <row r="639" spans="12:12" x14ac:dyDescent="0.2">
      <c r="L639" s="6" t="s">
        <v>1064</v>
      </c>
    </row>
    <row r="640" spans="12:12" x14ac:dyDescent="0.2">
      <c r="L640" s="6" t="s">
        <v>1065</v>
      </c>
    </row>
    <row r="641" spans="12:12" x14ac:dyDescent="0.2">
      <c r="L641" s="6" t="s">
        <v>1066</v>
      </c>
    </row>
    <row r="642" spans="12:12" x14ac:dyDescent="0.2">
      <c r="L642" s="6" t="s">
        <v>1067</v>
      </c>
    </row>
    <row r="643" spans="12:12" x14ac:dyDescent="0.2">
      <c r="L643" s="6" t="s">
        <v>1068</v>
      </c>
    </row>
    <row r="644" spans="12:12" x14ac:dyDescent="0.2">
      <c r="L644" s="6" t="s">
        <v>1069</v>
      </c>
    </row>
    <row r="645" spans="12:12" x14ac:dyDescent="0.2">
      <c r="L645" s="6" t="s">
        <v>1070</v>
      </c>
    </row>
    <row r="646" spans="12:12" x14ac:dyDescent="0.2">
      <c r="L646" s="6" t="s">
        <v>1071</v>
      </c>
    </row>
    <row r="647" spans="12:12" x14ac:dyDescent="0.2">
      <c r="L647" s="6" t="s">
        <v>1072</v>
      </c>
    </row>
    <row r="648" spans="12:12" x14ac:dyDescent="0.2">
      <c r="L648" s="6" t="s">
        <v>1073</v>
      </c>
    </row>
    <row r="649" spans="12:12" x14ac:dyDescent="0.2">
      <c r="L649" s="6" t="s">
        <v>1074</v>
      </c>
    </row>
    <row r="650" spans="12:12" x14ac:dyDescent="0.2">
      <c r="L650" s="6" t="s">
        <v>1075</v>
      </c>
    </row>
    <row r="651" spans="12:12" x14ac:dyDescent="0.2">
      <c r="L651" s="6" t="s">
        <v>1076</v>
      </c>
    </row>
    <row r="652" spans="12:12" x14ac:dyDescent="0.2">
      <c r="L652" s="6" t="s">
        <v>1077</v>
      </c>
    </row>
    <row r="653" spans="12:12" x14ac:dyDescent="0.2">
      <c r="L653" s="6" t="s">
        <v>1078</v>
      </c>
    </row>
    <row r="654" spans="12:12" x14ac:dyDescent="0.2">
      <c r="L654" s="6" t="s">
        <v>1079</v>
      </c>
    </row>
    <row r="655" spans="12:12" x14ac:dyDescent="0.2">
      <c r="L655" s="6" t="s">
        <v>1080</v>
      </c>
    </row>
    <row r="656" spans="12:12" x14ac:dyDescent="0.2">
      <c r="L656" s="6" t="s">
        <v>1081</v>
      </c>
    </row>
    <row r="657" spans="12:12" x14ac:dyDescent="0.2">
      <c r="L657" s="6" t="s">
        <v>1082</v>
      </c>
    </row>
    <row r="658" spans="12:12" x14ac:dyDescent="0.2">
      <c r="L658" s="6" t="s">
        <v>1083</v>
      </c>
    </row>
    <row r="659" spans="12:12" x14ac:dyDescent="0.2">
      <c r="L659" s="6" t="s">
        <v>1084</v>
      </c>
    </row>
    <row r="660" spans="12:12" x14ac:dyDescent="0.2">
      <c r="L660" s="6" t="s">
        <v>1085</v>
      </c>
    </row>
    <row r="661" spans="12:12" x14ac:dyDescent="0.2">
      <c r="L661" s="6" t="s">
        <v>1086</v>
      </c>
    </row>
    <row r="662" spans="12:12" x14ac:dyDescent="0.2">
      <c r="L662" s="6" t="s">
        <v>1087</v>
      </c>
    </row>
    <row r="663" spans="12:12" x14ac:dyDescent="0.2">
      <c r="L663" s="6" t="s">
        <v>1088</v>
      </c>
    </row>
    <row r="664" spans="12:12" x14ac:dyDescent="0.2">
      <c r="L664" s="6" t="s">
        <v>1089</v>
      </c>
    </row>
    <row r="665" spans="12:12" x14ac:dyDescent="0.2">
      <c r="L665" s="6" t="s">
        <v>1090</v>
      </c>
    </row>
    <row r="666" spans="12:12" x14ac:dyDescent="0.2">
      <c r="L666" s="6" t="s">
        <v>1091</v>
      </c>
    </row>
    <row r="667" spans="12:12" x14ac:dyDescent="0.2">
      <c r="L667" s="6" t="s">
        <v>1092</v>
      </c>
    </row>
    <row r="668" spans="12:12" x14ac:dyDescent="0.2">
      <c r="L668" s="6" t="s">
        <v>1093</v>
      </c>
    </row>
    <row r="669" spans="12:12" x14ac:dyDescent="0.2">
      <c r="L669" s="6" t="s">
        <v>1094</v>
      </c>
    </row>
    <row r="670" spans="12:12" x14ac:dyDescent="0.2">
      <c r="L670" s="6" t="s">
        <v>1095</v>
      </c>
    </row>
    <row r="671" spans="12:12" x14ac:dyDescent="0.2">
      <c r="L671" s="6" t="s">
        <v>1096</v>
      </c>
    </row>
    <row r="672" spans="12:12" x14ac:dyDescent="0.2">
      <c r="L672" s="6" t="s">
        <v>1097</v>
      </c>
    </row>
    <row r="673" spans="12:12" x14ac:dyDescent="0.2">
      <c r="L673" s="6" t="s">
        <v>1098</v>
      </c>
    </row>
    <row r="674" spans="12:12" x14ac:dyDescent="0.2">
      <c r="L674" s="6" t="s">
        <v>1099</v>
      </c>
    </row>
    <row r="675" spans="12:12" x14ac:dyDescent="0.2">
      <c r="L675" s="6" t="s">
        <v>1100</v>
      </c>
    </row>
    <row r="676" spans="12:12" x14ac:dyDescent="0.2">
      <c r="L676" s="6" t="s">
        <v>1101</v>
      </c>
    </row>
    <row r="677" spans="12:12" x14ac:dyDescent="0.2">
      <c r="L677" s="6" t="s">
        <v>1102</v>
      </c>
    </row>
    <row r="678" spans="12:12" x14ac:dyDescent="0.2">
      <c r="L678" s="6" t="s">
        <v>1103</v>
      </c>
    </row>
    <row r="679" spans="12:12" x14ac:dyDescent="0.2">
      <c r="L679" s="6" t="s">
        <v>1104</v>
      </c>
    </row>
    <row r="680" spans="12:12" x14ac:dyDescent="0.2">
      <c r="L680" s="6" t="s">
        <v>1105</v>
      </c>
    </row>
    <row r="681" spans="12:12" x14ac:dyDescent="0.2">
      <c r="L681" s="6" t="s">
        <v>1106</v>
      </c>
    </row>
    <row r="682" spans="12:12" x14ac:dyDescent="0.2">
      <c r="L682" s="6" t="s">
        <v>1107</v>
      </c>
    </row>
    <row r="683" spans="12:12" x14ac:dyDescent="0.2">
      <c r="L683" s="6" t="s">
        <v>1108</v>
      </c>
    </row>
    <row r="684" spans="12:12" x14ac:dyDescent="0.2">
      <c r="L684" s="6" t="s">
        <v>1109</v>
      </c>
    </row>
    <row r="685" spans="12:12" x14ac:dyDescent="0.2">
      <c r="L685" s="6" t="s">
        <v>1110</v>
      </c>
    </row>
    <row r="686" spans="12:12" x14ac:dyDescent="0.2">
      <c r="L686" s="6" t="s">
        <v>1111</v>
      </c>
    </row>
    <row r="687" spans="12:12" x14ac:dyDescent="0.2">
      <c r="L687" s="6" t="s">
        <v>1112</v>
      </c>
    </row>
    <row r="688" spans="12:12" x14ac:dyDescent="0.2">
      <c r="L688" s="6" t="s">
        <v>1113</v>
      </c>
    </row>
    <row r="689" spans="12:12" x14ac:dyDescent="0.2">
      <c r="L689" s="6" t="s">
        <v>1114</v>
      </c>
    </row>
    <row r="690" spans="12:12" x14ac:dyDescent="0.2">
      <c r="L690" s="6" t="s">
        <v>1115</v>
      </c>
    </row>
    <row r="691" spans="12:12" x14ac:dyDescent="0.2">
      <c r="L691" s="6" t="s">
        <v>1116</v>
      </c>
    </row>
    <row r="692" spans="12:12" x14ac:dyDescent="0.2">
      <c r="L692" s="6" t="s">
        <v>408</v>
      </c>
    </row>
    <row r="693" spans="12:12" x14ac:dyDescent="0.2">
      <c r="L693" s="6" t="s">
        <v>1117</v>
      </c>
    </row>
    <row r="694" spans="12:12" x14ac:dyDescent="0.2">
      <c r="L694" s="6" t="s">
        <v>1118</v>
      </c>
    </row>
    <row r="695" spans="12:12" x14ac:dyDescent="0.2">
      <c r="L695" s="6" t="s">
        <v>1119</v>
      </c>
    </row>
    <row r="696" spans="12:12" x14ac:dyDescent="0.2">
      <c r="L696" s="6" t="s">
        <v>1120</v>
      </c>
    </row>
    <row r="697" spans="12:12" x14ac:dyDescent="0.2">
      <c r="L697" s="6" t="s">
        <v>1121</v>
      </c>
    </row>
    <row r="698" spans="12:12" x14ac:dyDescent="0.2">
      <c r="L698" s="6" t="s">
        <v>1122</v>
      </c>
    </row>
    <row r="699" spans="12:12" x14ac:dyDescent="0.2">
      <c r="L699" s="6" t="s">
        <v>1123</v>
      </c>
    </row>
    <row r="700" spans="12:12" x14ac:dyDescent="0.2">
      <c r="L700" s="6" t="s">
        <v>1124</v>
      </c>
    </row>
    <row r="701" spans="12:12" x14ac:dyDescent="0.2">
      <c r="L701" s="6" t="s">
        <v>409</v>
      </c>
    </row>
    <row r="702" spans="12:12" x14ac:dyDescent="0.2">
      <c r="L702" s="6" t="s">
        <v>1125</v>
      </c>
    </row>
    <row r="703" spans="12:12" x14ac:dyDescent="0.2">
      <c r="L703" s="6" t="s">
        <v>1126</v>
      </c>
    </row>
    <row r="704" spans="12:12" x14ac:dyDescent="0.2">
      <c r="L704" s="6" t="s">
        <v>1127</v>
      </c>
    </row>
    <row r="705" spans="12:12" x14ac:dyDescent="0.2">
      <c r="L705" s="6" t="s">
        <v>410</v>
      </c>
    </row>
    <row r="706" spans="12:12" x14ac:dyDescent="0.2">
      <c r="L706" s="6" t="s">
        <v>1128</v>
      </c>
    </row>
    <row r="707" spans="12:12" x14ac:dyDescent="0.2">
      <c r="L707" s="6" t="s">
        <v>1129</v>
      </c>
    </row>
    <row r="708" spans="12:12" x14ac:dyDescent="0.2">
      <c r="L708" s="6" t="s">
        <v>1130</v>
      </c>
    </row>
    <row r="709" spans="12:12" x14ac:dyDescent="0.2">
      <c r="L709" s="6" t="s">
        <v>1131</v>
      </c>
    </row>
    <row r="710" spans="12:12" x14ac:dyDescent="0.2">
      <c r="L710" s="6" t="s">
        <v>1132</v>
      </c>
    </row>
    <row r="711" spans="12:12" x14ac:dyDescent="0.2">
      <c r="L711" s="6" t="s">
        <v>1126</v>
      </c>
    </row>
    <row r="712" spans="12:12" x14ac:dyDescent="0.2">
      <c r="L712" s="6" t="s">
        <v>1133</v>
      </c>
    </row>
    <row r="713" spans="12:12" x14ac:dyDescent="0.2">
      <c r="L713" s="6" t="s">
        <v>1134</v>
      </c>
    </row>
    <row r="714" spans="12:12" x14ac:dyDescent="0.2">
      <c r="L714" s="6" t="s">
        <v>1135</v>
      </c>
    </row>
    <row r="715" spans="12:12" x14ac:dyDescent="0.2">
      <c r="L715" s="6" t="s">
        <v>1136</v>
      </c>
    </row>
    <row r="716" spans="12:12" x14ac:dyDescent="0.2">
      <c r="L716" s="6" t="s">
        <v>1137</v>
      </c>
    </row>
    <row r="717" spans="12:12" x14ac:dyDescent="0.2">
      <c r="L717" s="6" t="s">
        <v>1138</v>
      </c>
    </row>
    <row r="718" spans="12:12" x14ac:dyDescent="0.2">
      <c r="L718" s="6" t="s">
        <v>1139</v>
      </c>
    </row>
    <row r="719" spans="12:12" x14ac:dyDescent="0.2">
      <c r="L719" s="6" t="s">
        <v>1140</v>
      </c>
    </row>
    <row r="720" spans="12:12" x14ac:dyDescent="0.2">
      <c r="L720" s="6" t="s">
        <v>1141</v>
      </c>
    </row>
    <row r="721" spans="12:12" x14ac:dyDescent="0.2">
      <c r="L721" s="6" t="s">
        <v>1142</v>
      </c>
    </row>
    <row r="722" spans="12:12" x14ac:dyDescent="0.2">
      <c r="L722" s="6" t="s">
        <v>411</v>
      </c>
    </row>
    <row r="723" spans="12:12" x14ac:dyDescent="0.2">
      <c r="L723" s="6" t="s">
        <v>412</v>
      </c>
    </row>
    <row r="724" spans="12:12" x14ac:dyDescent="0.2">
      <c r="L724" s="6" t="s">
        <v>1143</v>
      </c>
    </row>
    <row r="725" spans="12:12" x14ac:dyDescent="0.2">
      <c r="L725" s="6" t="s">
        <v>1144</v>
      </c>
    </row>
    <row r="726" spans="12:12" x14ac:dyDescent="0.2">
      <c r="L726" s="6" t="s">
        <v>1145</v>
      </c>
    </row>
    <row r="727" spans="12:12" x14ac:dyDescent="0.2">
      <c r="L727" s="6" t="s">
        <v>1146</v>
      </c>
    </row>
    <row r="728" spans="12:12" x14ac:dyDescent="0.2">
      <c r="L728" s="6" t="s">
        <v>1147</v>
      </c>
    </row>
    <row r="729" spans="12:12" x14ac:dyDescent="0.2">
      <c r="L729" s="6" t="s">
        <v>1148</v>
      </c>
    </row>
    <row r="730" spans="12:12" x14ac:dyDescent="0.2">
      <c r="L730" s="6" t="s">
        <v>526</v>
      </c>
    </row>
    <row r="731" spans="12:12" x14ac:dyDescent="0.2">
      <c r="L731" s="6" t="s">
        <v>1149</v>
      </c>
    </row>
    <row r="732" spans="12:12" x14ac:dyDescent="0.2">
      <c r="L732" s="6" t="s">
        <v>1150</v>
      </c>
    </row>
    <row r="733" spans="12:12" x14ac:dyDescent="0.2">
      <c r="L733" s="6" t="s">
        <v>1151</v>
      </c>
    </row>
    <row r="734" spans="12:12" x14ac:dyDescent="0.2">
      <c r="L734" s="6" t="s">
        <v>1152</v>
      </c>
    </row>
    <row r="735" spans="12:12" x14ac:dyDescent="0.2">
      <c r="L735" s="6" t="s">
        <v>1153</v>
      </c>
    </row>
    <row r="736" spans="12:12" x14ac:dyDescent="0.2">
      <c r="L736" s="6" t="s">
        <v>1154</v>
      </c>
    </row>
    <row r="737" spans="12:12" x14ac:dyDescent="0.2">
      <c r="L737" s="6" t="s">
        <v>1155</v>
      </c>
    </row>
    <row r="738" spans="12:12" x14ac:dyDescent="0.2">
      <c r="L738" s="6" t="s">
        <v>1156</v>
      </c>
    </row>
    <row r="739" spans="12:12" x14ac:dyDescent="0.2">
      <c r="L739" s="6" t="s">
        <v>1157</v>
      </c>
    </row>
    <row r="740" spans="12:12" x14ac:dyDescent="0.2">
      <c r="L740" s="6" t="s">
        <v>1158</v>
      </c>
    </row>
    <row r="741" spans="12:12" x14ac:dyDescent="0.2">
      <c r="L741" s="6" t="s">
        <v>413</v>
      </c>
    </row>
    <row r="742" spans="12:12" x14ac:dyDescent="0.2">
      <c r="L742" s="6" t="s">
        <v>414</v>
      </c>
    </row>
    <row r="743" spans="12:12" x14ac:dyDescent="0.2">
      <c r="L743" s="6" t="s">
        <v>415</v>
      </c>
    </row>
    <row r="744" spans="12:12" x14ac:dyDescent="0.2">
      <c r="L744" s="6" t="s">
        <v>1159</v>
      </c>
    </row>
    <row r="745" spans="12:12" x14ac:dyDescent="0.2">
      <c r="L745" s="6" t="s">
        <v>1160</v>
      </c>
    </row>
    <row r="746" spans="12:12" x14ac:dyDescent="0.2">
      <c r="L746" s="6" t="s">
        <v>1161</v>
      </c>
    </row>
    <row r="747" spans="12:12" x14ac:dyDescent="0.2">
      <c r="L747" s="6" t="s">
        <v>1162</v>
      </c>
    </row>
    <row r="748" spans="12:12" x14ac:dyDescent="0.2">
      <c r="L748" s="6" t="s">
        <v>1163</v>
      </c>
    </row>
    <row r="749" spans="12:12" x14ac:dyDescent="0.2">
      <c r="L749" s="6" t="s">
        <v>1164</v>
      </c>
    </row>
    <row r="750" spans="12:12" x14ac:dyDescent="0.2">
      <c r="L750" s="6" t="s">
        <v>1165</v>
      </c>
    </row>
    <row r="751" spans="12:12" x14ac:dyDescent="0.2">
      <c r="L751" s="6" t="s">
        <v>1166</v>
      </c>
    </row>
    <row r="752" spans="12:12" x14ac:dyDescent="0.2">
      <c r="L752" s="6" t="s">
        <v>1167</v>
      </c>
    </row>
    <row r="753" spans="12:12" x14ac:dyDescent="0.2">
      <c r="L753" s="6" t="s">
        <v>1168</v>
      </c>
    </row>
    <row r="754" spans="12:12" x14ac:dyDescent="0.2">
      <c r="L754" s="6" t="s">
        <v>1169</v>
      </c>
    </row>
    <row r="755" spans="12:12" x14ac:dyDescent="0.2">
      <c r="L755" s="6" t="s">
        <v>1170</v>
      </c>
    </row>
    <row r="756" spans="12:12" x14ac:dyDescent="0.2">
      <c r="L756" s="6" t="s">
        <v>1171</v>
      </c>
    </row>
    <row r="757" spans="12:12" x14ac:dyDescent="0.2">
      <c r="L757" s="6" t="s">
        <v>1172</v>
      </c>
    </row>
    <row r="758" spans="12:12" x14ac:dyDescent="0.2">
      <c r="L758" s="6" t="s">
        <v>416</v>
      </c>
    </row>
    <row r="759" spans="12:12" x14ac:dyDescent="0.2">
      <c r="L759" s="6" t="s">
        <v>1173</v>
      </c>
    </row>
    <row r="760" spans="12:12" x14ac:dyDescent="0.2">
      <c r="L760" s="6" t="s">
        <v>1174</v>
      </c>
    </row>
    <row r="761" spans="12:12" x14ac:dyDescent="0.2">
      <c r="L761" s="6" t="s">
        <v>1175</v>
      </c>
    </row>
    <row r="762" spans="12:12" x14ac:dyDescent="0.2">
      <c r="L762" s="6" t="s">
        <v>1176</v>
      </c>
    </row>
    <row r="763" spans="12:12" x14ac:dyDescent="0.2">
      <c r="L763" s="6" t="s">
        <v>1177</v>
      </c>
    </row>
    <row r="764" spans="12:12" x14ac:dyDescent="0.2">
      <c r="L764" s="6" t="s">
        <v>1178</v>
      </c>
    </row>
    <row r="765" spans="12:12" x14ac:dyDescent="0.2">
      <c r="L765" s="6" t="s">
        <v>1179</v>
      </c>
    </row>
    <row r="766" spans="12:12" x14ac:dyDescent="0.2">
      <c r="L766" s="6" t="s">
        <v>1180</v>
      </c>
    </row>
    <row r="767" spans="12:12" x14ac:dyDescent="0.2">
      <c r="L767" s="6" t="s">
        <v>417</v>
      </c>
    </row>
    <row r="768" spans="12:12" x14ac:dyDescent="0.2">
      <c r="L768" s="6" t="s">
        <v>1181</v>
      </c>
    </row>
    <row r="769" spans="12:12" x14ac:dyDescent="0.2">
      <c r="L769" s="6" t="s">
        <v>1182</v>
      </c>
    </row>
    <row r="770" spans="12:12" x14ac:dyDescent="0.2">
      <c r="L770" s="6" t="s">
        <v>1183</v>
      </c>
    </row>
    <row r="771" spans="12:12" x14ac:dyDescent="0.2">
      <c r="L771" s="6" t="s">
        <v>1184</v>
      </c>
    </row>
    <row r="772" spans="12:12" x14ac:dyDescent="0.2">
      <c r="L772" s="6" t="s">
        <v>1185</v>
      </c>
    </row>
    <row r="773" spans="12:12" x14ac:dyDescent="0.2">
      <c r="L773" s="6" t="s">
        <v>1186</v>
      </c>
    </row>
    <row r="774" spans="12:12" x14ac:dyDescent="0.2">
      <c r="L774" s="6" t="s">
        <v>1187</v>
      </c>
    </row>
    <row r="775" spans="12:12" x14ac:dyDescent="0.2">
      <c r="L775" s="6" t="s">
        <v>1188</v>
      </c>
    </row>
    <row r="776" spans="12:12" x14ac:dyDescent="0.2">
      <c r="L776" s="6" t="s">
        <v>1189</v>
      </c>
    </row>
    <row r="777" spans="12:12" x14ac:dyDescent="0.2">
      <c r="L777" s="6" t="s">
        <v>1190</v>
      </c>
    </row>
    <row r="778" spans="12:12" x14ac:dyDescent="0.2">
      <c r="L778" s="6" t="s">
        <v>1191</v>
      </c>
    </row>
    <row r="779" spans="12:12" x14ac:dyDescent="0.2">
      <c r="L779" s="6" t="s">
        <v>1192</v>
      </c>
    </row>
    <row r="780" spans="12:12" x14ac:dyDescent="0.2">
      <c r="L780" s="6" t="s">
        <v>1193</v>
      </c>
    </row>
    <row r="781" spans="12:12" x14ac:dyDescent="0.2">
      <c r="L781" s="6" t="s">
        <v>418</v>
      </c>
    </row>
    <row r="782" spans="12:12" x14ac:dyDescent="0.2">
      <c r="L782" s="6" t="s">
        <v>1194</v>
      </c>
    </row>
    <row r="783" spans="12:12" x14ac:dyDescent="0.2">
      <c r="L783" s="6" t="s">
        <v>1195</v>
      </c>
    </row>
    <row r="784" spans="12:12" x14ac:dyDescent="0.2">
      <c r="L784" s="6" t="s">
        <v>1196</v>
      </c>
    </row>
    <row r="785" spans="12:12" x14ac:dyDescent="0.2">
      <c r="L785" s="6" t="s">
        <v>1197</v>
      </c>
    </row>
    <row r="786" spans="12:12" x14ac:dyDescent="0.2">
      <c r="L786" s="6" t="s">
        <v>1198</v>
      </c>
    </row>
    <row r="787" spans="12:12" x14ac:dyDescent="0.2">
      <c r="L787" s="6" t="s">
        <v>1199</v>
      </c>
    </row>
    <row r="788" spans="12:12" x14ac:dyDescent="0.2">
      <c r="L788" s="6" t="s">
        <v>1200</v>
      </c>
    </row>
    <row r="789" spans="12:12" x14ac:dyDescent="0.2">
      <c r="L789" s="6" t="s">
        <v>1201</v>
      </c>
    </row>
    <row r="790" spans="12:12" x14ac:dyDescent="0.2">
      <c r="L790" s="6" t="s">
        <v>1202</v>
      </c>
    </row>
    <row r="791" spans="12:12" x14ac:dyDescent="0.2">
      <c r="L791" s="6" t="s">
        <v>1203</v>
      </c>
    </row>
    <row r="792" spans="12:12" x14ac:dyDescent="0.2">
      <c r="L792" s="6" t="s">
        <v>1204</v>
      </c>
    </row>
    <row r="793" spans="12:12" x14ac:dyDescent="0.2">
      <c r="L793" s="6" t="s">
        <v>1205</v>
      </c>
    </row>
    <row r="794" spans="12:12" x14ac:dyDescent="0.2">
      <c r="L794" s="6" t="s">
        <v>1206</v>
      </c>
    </row>
    <row r="795" spans="12:12" x14ac:dyDescent="0.2">
      <c r="L795" s="6" t="s">
        <v>1207</v>
      </c>
    </row>
    <row r="796" spans="12:12" x14ac:dyDescent="0.2">
      <c r="L796" s="6" t="s">
        <v>1208</v>
      </c>
    </row>
    <row r="797" spans="12:12" x14ac:dyDescent="0.2">
      <c r="L797" s="6" t="s">
        <v>1209</v>
      </c>
    </row>
    <row r="798" spans="12:12" x14ac:dyDescent="0.2">
      <c r="L798" s="6" t="s">
        <v>1210</v>
      </c>
    </row>
    <row r="799" spans="12:12" x14ac:dyDescent="0.2">
      <c r="L799" s="6" t="s">
        <v>1211</v>
      </c>
    </row>
    <row r="800" spans="12:12" x14ac:dyDescent="0.2">
      <c r="L800" s="6" t="s">
        <v>1202</v>
      </c>
    </row>
    <row r="801" spans="12:12" x14ac:dyDescent="0.2">
      <c r="L801" s="6" t="s">
        <v>1212</v>
      </c>
    </row>
    <row r="802" spans="12:12" x14ac:dyDescent="0.2">
      <c r="L802" s="6" t="s">
        <v>1213</v>
      </c>
    </row>
    <row r="803" spans="12:12" x14ac:dyDescent="0.2">
      <c r="L803" s="6" t="s">
        <v>1214</v>
      </c>
    </row>
    <row r="804" spans="12:12" x14ac:dyDescent="0.2">
      <c r="L804" s="6" t="s">
        <v>1215</v>
      </c>
    </row>
    <row r="805" spans="12:12" x14ac:dyDescent="0.2">
      <c r="L805" s="6" t="s">
        <v>419</v>
      </c>
    </row>
    <row r="806" spans="12:12" x14ac:dyDescent="0.2">
      <c r="L806" s="6" t="s">
        <v>1216</v>
      </c>
    </row>
    <row r="807" spans="12:12" x14ac:dyDescent="0.2">
      <c r="L807" s="6" t="s">
        <v>1217</v>
      </c>
    </row>
    <row r="808" spans="12:12" x14ac:dyDescent="0.2">
      <c r="L808" s="6" t="s">
        <v>1218</v>
      </c>
    </row>
    <row r="809" spans="12:12" x14ac:dyDescent="0.2">
      <c r="L809" s="6" t="s">
        <v>1219</v>
      </c>
    </row>
    <row r="810" spans="12:12" x14ac:dyDescent="0.2">
      <c r="L810" s="6" t="s">
        <v>1220</v>
      </c>
    </row>
    <row r="811" spans="12:12" x14ac:dyDescent="0.2">
      <c r="L811" s="6" t="s">
        <v>1221</v>
      </c>
    </row>
    <row r="812" spans="12:12" x14ac:dyDescent="0.2">
      <c r="L812" s="6" t="s">
        <v>420</v>
      </c>
    </row>
    <row r="813" spans="12:12" x14ac:dyDescent="0.2">
      <c r="L813" s="6" t="s">
        <v>1222</v>
      </c>
    </row>
    <row r="814" spans="12:12" x14ac:dyDescent="0.2">
      <c r="L814" s="6" t="s">
        <v>1223</v>
      </c>
    </row>
    <row r="815" spans="12:12" x14ac:dyDescent="0.2">
      <c r="L815" s="6" t="s">
        <v>421</v>
      </c>
    </row>
    <row r="816" spans="12:12" x14ac:dyDescent="0.2">
      <c r="L816" s="6" t="s">
        <v>1224</v>
      </c>
    </row>
    <row r="817" spans="12:12" x14ac:dyDescent="0.2">
      <c r="L817" s="6" t="s">
        <v>422</v>
      </c>
    </row>
    <row r="818" spans="12:12" x14ac:dyDescent="0.2">
      <c r="L818" s="6" t="s">
        <v>1225</v>
      </c>
    </row>
    <row r="819" spans="12:12" x14ac:dyDescent="0.2">
      <c r="L819" s="6" t="s">
        <v>1226</v>
      </c>
    </row>
    <row r="820" spans="12:12" x14ac:dyDescent="0.2">
      <c r="L820" s="6" t="s">
        <v>1227</v>
      </c>
    </row>
    <row r="821" spans="12:12" x14ac:dyDescent="0.2">
      <c r="L821" s="6" t="s">
        <v>1228</v>
      </c>
    </row>
    <row r="822" spans="12:12" x14ac:dyDescent="0.2">
      <c r="L822" s="6" t="s">
        <v>1229</v>
      </c>
    </row>
    <row r="823" spans="12:12" x14ac:dyDescent="0.2">
      <c r="L823" s="6" t="s">
        <v>1230</v>
      </c>
    </row>
    <row r="824" spans="12:12" x14ac:dyDescent="0.2">
      <c r="L824" s="6" t="s">
        <v>423</v>
      </c>
    </row>
    <row r="825" spans="12:12" x14ac:dyDescent="0.2">
      <c r="L825" s="6" t="s">
        <v>1231</v>
      </c>
    </row>
    <row r="826" spans="12:12" x14ac:dyDescent="0.2">
      <c r="L826" s="6" t="s">
        <v>1232</v>
      </c>
    </row>
    <row r="827" spans="12:12" x14ac:dyDescent="0.2">
      <c r="L827" s="6" t="s">
        <v>1233</v>
      </c>
    </row>
    <row r="828" spans="12:12" x14ac:dyDescent="0.2">
      <c r="L828" s="6" t="s">
        <v>1234</v>
      </c>
    </row>
    <row r="829" spans="12:12" x14ac:dyDescent="0.2">
      <c r="L829" s="6" t="s">
        <v>424</v>
      </c>
    </row>
    <row r="830" spans="12:12" x14ac:dyDescent="0.2">
      <c r="L830" s="6" t="s">
        <v>1235</v>
      </c>
    </row>
    <row r="831" spans="12:12" x14ac:dyDescent="0.2">
      <c r="L831" s="6" t="s">
        <v>1236</v>
      </c>
    </row>
    <row r="832" spans="12:12" x14ac:dyDescent="0.2">
      <c r="L832" s="6" t="s">
        <v>1237</v>
      </c>
    </row>
    <row r="833" spans="12:12" x14ac:dyDescent="0.2">
      <c r="L833" s="6" t="s">
        <v>1238</v>
      </c>
    </row>
    <row r="834" spans="12:12" x14ac:dyDescent="0.2">
      <c r="L834" s="6" t="s">
        <v>1239</v>
      </c>
    </row>
    <row r="835" spans="12:12" x14ac:dyDescent="0.2">
      <c r="L835" s="6" t="s">
        <v>425</v>
      </c>
    </row>
    <row r="836" spans="12:12" x14ac:dyDescent="0.2">
      <c r="L836" s="6" t="s">
        <v>1240</v>
      </c>
    </row>
    <row r="837" spans="12:12" x14ac:dyDescent="0.2">
      <c r="L837" s="6" t="s">
        <v>426</v>
      </c>
    </row>
    <row r="838" spans="12:12" x14ac:dyDescent="0.2">
      <c r="L838" s="6" t="s">
        <v>1241</v>
      </c>
    </row>
    <row r="839" spans="12:12" x14ac:dyDescent="0.2">
      <c r="L839" s="6" t="s">
        <v>1242</v>
      </c>
    </row>
    <row r="840" spans="12:12" x14ac:dyDescent="0.2">
      <c r="L840" s="6" t="s">
        <v>1243</v>
      </c>
    </row>
    <row r="841" spans="12:12" x14ac:dyDescent="0.2">
      <c r="L841" s="6" t="s">
        <v>1244</v>
      </c>
    </row>
    <row r="842" spans="12:12" x14ac:dyDescent="0.2">
      <c r="L842" s="6" t="s">
        <v>1245</v>
      </c>
    </row>
    <row r="843" spans="12:12" x14ac:dyDescent="0.2">
      <c r="L843" s="6" t="s">
        <v>427</v>
      </c>
    </row>
    <row r="844" spans="12:12" x14ac:dyDescent="0.2">
      <c r="L844" s="6" t="s">
        <v>428</v>
      </c>
    </row>
    <row r="845" spans="12:12" x14ac:dyDescent="0.2">
      <c r="L845" s="6" t="s">
        <v>1246</v>
      </c>
    </row>
    <row r="846" spans="12:12" x14ac:dyDescent="0.2">
      <c r="L846" s="6" t="s">
        <v>1247</v>
      </c>
    </row>
    <row r="847" spans="12:12" x14ac:dyDescent="0.2">
      <c r="L847" s="6" t="s">
        <v>1248</v>
      </c>
    </row>
    <row r="848" spans="12:12" x14ac:dyDescent="0.2">
      <c r="L848" s="6" t="s">
        <v>429</v>
      </c>
    </row>
    <row r="849" spans="12:12" x14ac:dyDescent="0.2">
      <c r="L849" s="6" t="s">
        <v>1249</v>
      </c>
    </row>
    <row r="850" spans="12:12" x14ac:dyDescent="0.2">
      <c r="L850" s="6" t="s">
        <v>430</v>
      </c>
    </row>
    <row r="851" spans="12:12" x14ac:dyDescent="0.2">
      <c r="L851" s="6" t="s">
        <v>1250</v>
      </c>
    </row>
    <row r="852" spans="12:12" x14ac:dyDescent="0.2">
      <c r="L852" s="6" t="s">
        <v>1251</v>
      </c>
    </row>
    <row r="853" spans="12:12" x14ac:dyDescent="0.2">
      <c r="L853" s="6" t="s">
        <v>1252</v>
      </c>
    </row>
    <row r="854" spans="12:12" x14ac:dyDescent="0.2">
      <c r="L854" s="6" t="s">
        <v>431</v>
      </c>
    </row>
    <row r="855" spans="12:12" x14ac:dyDescent="0.2">
      <c r="L855" s="6" t="s">
        <v>1253</v>
      </c>
    </row>
    <row r="856" spans="12:12" x14ac:dyDescent="0.2">
      <c r="L856" s="6" t="s">
        <v>1254</v>
      </c>
    </row>
    <row r="857" spans="12:12" x14ac:dyDescent="0.2">
      <c r="L857" s="6" t="s">
        <v>432</v>
      </c>
    </row>
    <row r="858" spans="12:12" x14ac:dyDescent="0.2">
      <c r="L858" s="6" t="s">
        <v>1255</v>
      </c>
    </row>
    <row r="859" spans="12:12" x14ac:dyDescent="0.2">
      <c r="L859" s="6" t="s">
        <v>1256</v>
      </c>
    </row>
    <row r="860" spans="12:12" x14ac:dyDescent="0.2">
      <c r="L860" s="6" t="s">
        <v>1257</v>
      </c>
    </row>
    <row r="861" spans="12:12" x14ac:dyDescent="0.2">
      <c r="L861" s="6" t="s">
        <v>433</v>
      </c>
    </row>
    <row r="862" spans="12:12" x14ac:dyDescent="0.2">
      <c r="L862" s="6" t="s">
        <v>1258</v>
      </c>
    </row>
    <row r="863" spans="12:12" x14ac:dyDescent="0.2">
      <c r="L863" s="6" t="s">
        <v>1259</v>
      </c>
    </row>
    <row r="864" spans="12:12" x14ac:dyDescent="0.2">
      <c r="L864" s="6" t="s">
        <v>1260</v>
      </c>
    </row>
    <row r="865" spans="12:12" x14ac:dyDescent="0.2">
      <c r="L865" s="6" t="s">
        <v>434</v>
      </c>
    </row>
    <row r="866" spans="12:12" x14ac:dyDescent="0.2">
      <c r="L866" s="6" t="s">
        <v>410</v>
      </c>
    </row>
    <row r="867" spans="12:12" x14ac:dyDescent="0.2">
      <c r="L867" s="6" t="s">
        <v>1261</v>
      </c>
    </row>
    <row r="868" spans="12:12" x14ac:dyDescent="0.2">
      <c r="L868" s="6" t="s">
        <v>1262</v>
      </c>
    </row>
    <row r="869" spans="12:12" x14ac:dyDescent="0.2">
      <c r="L869" s="6" t="s">
        <v>1263</v>
      </c>
    </row>
    <row r="870" spans="12:12" x14ac:dyDescent="0.2">
      <c r="L870" s="6" t="s">
        <v>435</v>
      </c>
    </row>
    <row r="871" spans="12:12" x14ac:dyDescent="0.2">
      <c r="L871" s="6" t="s">
        <v>436</v>
      </c>
    </row>
    <row r="872" spans="12:12" x14ac:dyDescent="0.2">
      <c r="L872" s="6" t="s">
        <v>437</v>
      </c>
    </row>
    <row r="873" spans="12:12" x14ac:dyDescent="0.2">
      <c r="L873" s="6" t="s">
        <v>1264</v>
      </c>
    </row>
    <row r="874" spans="12:12" x14ac:dyDescent="0.2">
      <c r="L874" s="6" t="s">
        <v>1265</v>
      </c>
    </row>
    <row r="875" spans="12:12" x14ac:dyDescent="0.2">
      <c r="L875" s="6" t="s">
        <v>1266</v>
      </c>
    </row>
    <row r="876" spans="12:12" x14ac:dyDescent="0.2">
      <c r="L876" s="6" t="s">
        <v>438</v>
      </c>
    </row>
    <row r="877" spans="12:12" x14ac:dyDescent="0.2">
      <c r="L877" s="6" t="s">
        <v>439</v>
      </c>
    </row>
    <row r="878" spans="12:12" x14ac:dyDescent="0.2">
      <c r="L878" s="6" t="s">
        <v>1267</v>
      </c>
    </row>
    <row r="879" spans="12:12" x14ac:dyDescent="0.2">
      <c r="L879" s="6" t="s">
        <v>1268</v>
      </c>
    </row>
    <row r="880" spans="12:12" x14ac:dyDescent="0.2">
      <c r="L880" s="6" t="s">
        <v>440</v>
      </c>
    </row>
    <row r="881" spans="12:12" x14ac:dyDescent="0.2">
      <c r="L881" s="6" t="s">
        <v>1269</v>
      </c>
    </row>
    <row r="882" spans="12:12" x14ac:dyDescent="0.2">
      <c r="L882" s="6" t="s">
        <v>441</v>
      </c>
    </row>
    <row r="883" spans="12:12" x14ac:dyDescent="0.2">
      <c r="L883" s="6" t="s">
        <v>1270</v>
      </c>
    </row>
    <row r="884" spans="12:12" x14ac:dyDescent="0.2">
      <c r="L884" s="6" t="s">
        <v>1271</v>
      </c>
    </row>
    <row r="885" spans="12:12" x14ac:dyDescent="0.2">
      <c r="L885" s="6" t="s">
        <v>1272</v>
      </c>
    </row>
    <row r="886" spans="12:12" x14ac:dyDescent="0.2">
      <c r="L886" s="6" t="s">
        <v>1273</v>
      </c>
    </row>
    <row r="887" spans="12:12" x14ac:dyDescent="0.2">
      <c r="L887" s="6" t="s">
        <v>1274</v>
      </c>
    </row>
    <row r="888" spans="12:12" x14ac:dyDescent="0.2">
      <c r="L888" s="6" t="s">
        <v>1275</v>
      </c>
    </row>
    <row r="889" spans="12:12" x14ac:dyDescent="0.2">
      <c r="L889" s="6" t="s">
        <v>1276</v>
      </c>
    </row>
    <row r="890" spans="12:12" x14ac:dyDescent="0.2">
      <c r="L890" s="6" t="s">
        <v>1277</v>
      </c>
    </row>
    <row r="891" spans="12:12" x14ac:dyDescent="0.2">
      <c r="L891" s="6" t="s">
        <v>1278</v>
      </c>
    </row>
    <row r="892" spans="12:12" x14ac:dyDescent="0.2">
      <c r="L892" s="6" t="s">
        <v>442</v>
      </c>
    </row>
    <row r="893" spans="12:12" x14ac:dyDescent="0.2">
      <c r="L893" s="6" t="s">
        <v>1279</v>
      </c>
    </row>
    <row r="894" spans="12:12" x14ac:dyDescent="0.2">
      <c r="L894" s="6" t="s">
        <v>443</v>
      </c>
    </row>
    <row r="895" spans="12:12" x14ac:dyDescent="0.2">
      <c r="L895" s="6" t="s">
        <v>444</v>
      </c>
    </row>
    <row r="896" spans="12:12" x14ac:dyDescent="0.2">
      <c r="L896" s="6" t="s">
        <v>1280</v>
      </c>
    </row>
    <row r="897" spans="12:12" x14ac:dyDescent="0.2">
      <c r="L897" s="6" t="s">
        <v>445</v>
      </c>
    </row>
    <row r="898" spans="12:12" x14ac:dyDescent="0.2">
      <c r="L898" s="6" t="s">
        <v>1281</v>
      </c>
    </row>
    <row r="899" spans="12:12" x14ac:dyDescent="0.2">
      <c r="L899" s="6" t="s">
        <v>1282</v>
      </c>
    </row>
    <row r="900" spans="12:12" x14ac:dyDescent="0.2">
      <c r="L900" s="6" t="s">
        <v>1283</v>
      </c>
    </row>
    <row r="901" spans="12:12" x14ac:dyDescent="0.2">
      <c r="L901" s="6" t="s">
        <v>1284</v>
      </c>
    </row>
    <row r="902" spans="12:12" x14ac:dyDescent="0.2">
      <c r="L902" s="6" t="s">
        <v>446</v>
      </c>
    </row>
    <row r="903" spans="12:12" x14ac:dyDescent="0.2">
      <c r="L903" s="6" t="s">
        <v>1285</v>
      </c>
    </row>
    <row r="904" spans="12:12" x14ac:dyDescent="0.2">
      <c r="L904" s="6" t="s">
        <v>1286</v>
      </c>
    </row>
    <row r="905" spans="12:12" x14ac:dyDescent="0.2">
      <c r="L905" s="6" t="s">
        <v>1287</v>
      </c>
    </row>
    <row r="906" spans="12:12" x14ac:dyDescent="0.2">
      <c r="L906" s="6" t="s">
        <v>1101</v>
      </c>
    </row>
    <row r="907" spans="12:12" x14ac:dyDescent="0.2">
      <c r="L907" s="6" t="s">
        <v>447</v>
      </c>
    </row>
    <row r="908" spans="12:12" x14ac:dyDescent="0.2">
      <c r="L908" s="6" t="s">
        <v>448</v>
      </c>
    </row>
    <row r="909" spans="12:12" x14ac:dyDescent="0.2">
      <c r="L909" s="6" t="s">
        <v>1288</v>
      </c>
    </row>
    <row r="910" spans="12:12" x14ac:dyDescent="0.2">
      <c r="L910" s="6" t="s">
        <v>449</v>
      </c>
    </row>
    <row r="911" spans="12:12" x14ac:dyDescent="0.2">
      <c r="L911" s="6" t="s">
        <v>450</v>
      </c>
    </row>
    <row r="912" spans="12:12" x14ac:dyDescent="0.2">
      <c r="L912" s="6" t="s">
        <v>451</v>
      </c>
    </row>
    <row r="913" spans="12:12" x14ac:dyDescent="0.2">
      <c r="L913" s="6" t="s">
        <v>1289</v>
      </c>
    </row>
    <row r="914" spans="12:12" x14ac:dyDescent="0.2">
      <c r="L914" s="6" t="s">
        <v>452</v>
      </c>
    </row>
    <row r="915" spans="12:12" x14ac:dyDescent="0.2">
      <c r="L915" s="6" t="s">
        <v>1290</v>
      </c>
    </row>
    <row r="916" spans="12:12" x14ac:dyDescent="0.2">
      <c r="L916" s="6" t="s">
        <v>1291</v>
      </c>
    </row>
    <row r="917" spans="12:12" x14ac:dyDescent="0.2">
      <c r="L917" s="6" t="s">
        <v>453</v>
      </c>
    </row>
    <row r="918" spans="12:12" x14ac:dyDescent="0.2">
      <c r="L918" s="6" t="s">
        <v>1292</v>
      </c>
    </row>
    <row r="919" spans="12:12" x14ac:dyDescent="0.2">
      <c r="L919" s="6" t="s">
        <v>454</v>
      </c>
    </row>
    <row r="920" spans="12:12" x14ac:dyDescent="0.2">
      <c r="L920" s="6" t="s">
        <v>1293</v>
      </c>
    </row>
    <row r="921" spans="12:12" x14ac:dyDescent="0.2">
      <c r="L921" s="6" t="s">
        <v>1294</v>
      </c>
    </row>
    <row r="922" spans="12:12" x14ac:dyDescent="0.2">
      <c r="L922" s="6" t="s">
        <v>1295</v>
      </c>
    </row>
    <row r="923" spans="12:12" x14ac:dyDescent="0.2">
      <c r="L923" s="6" t="s">
        <v>455</v>
      </c>
    </row>
    <row r="924" spans="12:12" x14ac:dyDescent="0.2">
      <c r="L924" s="6" t="s">
        <v>456</v>
      </c>
    </row>
    <row r="925" spans="12:12" x14ac:dyDescent="0.2">
      <c r="L925" s="6" t="s">
        <v>1296</v>
      </c>
    </row>
    <row r="926" spans="12:12" x14ac:dyDescent="0.2">
      <c r="L926" s="6" t="s">
        <v>1297</v>
      </c>
    </row>
    <row r="927" spans="12:12" x14ac:dyDescent="0.2">
      <c r="L927" s="6" t="s">
        <v>457</v>
      </c>
    </row>
    <row r="928" spans="12:12" x14ac:dyDescent="0.2">
      <c r="L928" s="6" t="s">
        <v>1298</v>
      </c>
    </row>
    <row r="929" spans="12:12" x14ac:dyDescent="0.2">
      <c r="L929" s="6" t="s">
        <v>1299</v>
      </c>
    </row>
    <row r="930" spans="12:12" x14ac:dyDescent="0.2">
      <c r="L930" s="6" t="s">
        <v>1300</v>
      </c>
    </row>
    <row r="931" spans="12:12" x14ac:dyDescent="0.2">
      <c r="L931" s="6" t="s">
        <v>458</v>
      </c>
    </row>
    <row r="932" spans="12:12" x14ac:dyDescent="0.2">
      <c r="L932" s="6" t="s">
        <v>1301</v>
      </c>
    </row>
    <row r="933" spans="12:12" x14ac:dyDescent="0.2">
      <c r="L933" s="6" t="s">
        <v>1302</v>
      </c>
    </row>
    <row r="934" spans="12:12" x14ac:dyDescent="0.2">
      <c r="L934" s="6" t="s">
        <v>1303</v>
      </c>
    </row>
    <row r="935" spans="12:12" x14ac:dyDescent="0.2">
      <c r="L935" s="6" t="s">
        <v>1291</v>
      </c>
    </row>
    <row r="936" spans="12:12" x14ac:dyDescent="0.2">
      <c r="L936" s="6" t="s">
        <v>1304</v>
      </c>
    </row>
    <row r="937" spans="12:12" x14ac:dyDescent="0.2">
      <c r="L937" s="6" t="s">
        <v>459</v>
      </c>
    </row>
    <row r="938" spans="12:12" x14ac:dyDescent="0.2">
      <c r="L938" s="6" t="s">
        <v>1305</v>
      </c>
    </row>
    <row r="939" spans="12:12" x14ac:dyDescent="0.2">
      <c r="L939" s="6" t="s">
        <v>1306</v>
      </c>
    </row>
    <row r="940" spans="12:12" x14ac:dyDescent="0.2">
      <c r="L940" s="6" t="s">
        <v>1307</v>
      </c>
    </row>
    <row r="941" spans="12:12" x14ac:dyDescent="0.2">
      <c r="L941" s="6" t="s">
        <v>460</v>
      </c>
    </row>
    <row r="942" spans="12:12" x14ac:dyDescent="0.2">
      <c r="L942" s="6" t="s">
        <v>1308</v>
      </c>
    </row>
    <row r="943" spans="12:12" x14ac:dyDescent="0.2">
      <c r="L943" s="6" t="s">
        <v>1309</v>
      </c>
    </row>
    <row r="944" spans="12:12" x14ac:dyDescent="0.2">
      <c r="L944" s="6" t="s">
        <v>461</v>
      </c>
    </row>
    <row r="945" spans="12:12" x14ac:dyDescent="0.2">
      <c r="L945" s="6" t="s">
        <v>1310</v>
      </c>
    </row>
    <row r="946" spans="12:12" x14ac:dyDescent="0.2">
      <c r="L946" s="6" t="s">
        <v>462</v>
      </c>
    </row>
    <row r="947" spans="12:12" x14ac:dyDescent="0.2">
      <c r="L947" s="6" t="s">
        <v>463</v>
      </c>
    </row>
    <row r="948" spans="12:12" x14ac:dyDescent="0.2">
      <c r="L948" s="6" t="s">
        <v>1311</v>
      </c>
    </row>
    <row r="949" spans="12:12" x14ac:dyDescent="0.2">
      <c r="L949" s="6" t="s">
        <v>1312</v>
      </c>
    </row>
    <row r="950" spans="12:12" x14ac:dyDescent="0.2">
      <c r="L950" s="6" t="s">
        <v>1194</v>
      </c>
    </row>
    <row r="951" spans="12:12" x14ac:dyDescent="0.2">
      <c r="L951" s="6" t="s">
        <v>464</v>
      </c>
    </row>
    <row r="952" spans="12:12" x14ac:dyDescent="0.2">
      <c r="L952" s="6" t="s">
        <v>1313</v>
      </c>
    </row>
    <row r="953" spans="12:12" x14ac:dyDescent="0.2">
      <c r="L953" s="6" t="s">
        <v>465</v>
      </c>
    </row>
    <row r="954" spans="12:12" x14ac:dyDescent="0.2">
      <c r="L954" s="6" t="s">
        <v>1314</v>
      </c>
    </row>
    <row r="955" spans="12:12" x14ac:dyDescent="0.2">
      <c r="L955" s="6" t="s">
        <v>1315</v>
      </c>
    </row>
    <row r="956" spans="12:12" x14ac:dyDescent="0.2">
      <c r="L956" s="6" t="s">
        <v>466</v>
      </c>
    </row>
    <row r="957" spans="12:12" x14ac:dyDescent="0.2">
      <c r="L957" s="6" t="s">
        <v>1316</v>
      </c>
    </row>
    <row r="958" spans="12:12" x14ac:dyDescent="0.2">
      <c r="L958" s="6" t="s">
        <v>1317</v>
      </c>
    </row>
    <row r="959" spans="12:12" x14ac:dyDescent="0.2">
      <c r="L959" s="6" t="s">
        <v>1318</v>
      </c>
    </row>
    <row r="960" spans="12:12" x14ac:dyDescent="0.2">
      <c r="L960" s="6" t="s">
        <v>1319</v>
      </c>
    </row>
    <row r="961" spans="12:12" x14ac:dyDescent="0.2">
      <c r="L961" s="6" t="s">
        <v>1320</v>
      </c>
    </row>
    <row r="962" spans="12:12" x14ac:dyDescent="0.2">
      <c r="L962" s="6" t="s">
        <v>1321</v>
      </c>
    </row>
    <row r="963" spans="12:12" x14ac:dyDescent="0.2">
      <c r="L963" s="6" t="s">
        <v>1321</v>
      </c>
    </row>
    <row r="964" spans="12:12" x14ac:dyDescent="0.2">
      <c r="L964" s="6" t="s">
        <v>1242</v>
      </c>
    </row>
    <row r="965" spans="12:12" x14ac:dyDescent="0.2">
      <c r="L965" s="6" t="s">
        <v>1322</v>
      </c>
    </row>
    <row r="966" spans="12:12" x14ac:dyDescent="0.2">
      <c r="L966" s="6" t="s">
        <v>1323</v>
      </c>
    </row>
    <row r="967" spans="12:12" x14ac:dyDescent="0.2">
      <c r="L967" s="6" t="s">
        <v>1324</v>
      </c>
    </row>
    <row r="968" spans="12:12" x14ac:dyDescent="0.2">
      <c r="L968" s="6" t="s">
        <v>467</v>
      </c>
    </row>
    <row r="969" spans="12:12" x14ac:dyDescent="0.2">
      <c r="L969" s="6" t="s">
        <v>1325</v>
      </c>
    </row>
    <row r="970" spans="12:12" x14ac:dyDescent="0.2">
      <c r="L970" s="6" t="s">
        <v>468</v>
      </c>
    </row>
    <row r="971" spans="12:12" x14ac:dyDescent="0.2">
      <c r="L971" s="6" t="s">
        <v>512</v>
      </c>
    </row>
    <row r="972" spans="12:12" x14ac:dyDescent="0.2">
      <c r="L972" s="6" t="s">
        <v>1326</v>
      </c>
    </row>
    <row r="973" spans="12:12" x14ac:dyDescent="0.2">
      <c r="L973" s="6" t="s">
        <v>1327</v>
      </c>
    </row>
    <row r="974" spans="12:12" x14ac:dyDescent="0.2">
      <c r="L974" s="6" t="s">
        <v>438</v>
      </c>
    </row>
    <row r="975" spans="12:12" x14ac:dyDescent="0.2">
      <c r="L975" s="6" t="s">
        <v>469</v>
      </c>
    </row>
    <row r="976" spans="12:12" x14ac:dyDescent="0.2">
      <c r="L976" s="6" t="s">
        <v>1328</v>
      </c>
    </row>
    <row r="977" spans="12:12" x14ac:dyDescent="0.2">
      <c r="L977" s="6" t="s">
        <v>1329</v>
      </c>
    </row>
    <row r="978" spans="12:12" x14ac:dyDescent="0.2">
      <c r="L978" s="6" t="s">
        <v>470</v>
      </c>
    </row>
    <row r="979" spans="12:12" x14ac:dyDescent="0.2">
      <c r="L979" s="6" t="s">
        <v>471</v>
      </c>
    </row>
    <row r="980" spans="12:12" x14ac:dyDescent="0.2">
      <c r="L980" s="6" t="s">
        <v>472</v>
      </c>
    </row>
    <row r="981" spans="12:12" x14ac:dyDescent="0.2">
      <c r="L981" s="6" t="s">
        <v>1330</v>
      </c>
    </row>
    <row r="982" spans="12:12" x14ac:dyDescent="0.2">
      <c r="L982" s="6" t="s">
        <v>1331</v>
      </c>
    </row>
    <row r="983" spans="12:12" x14ac:dyDescent="0.2">
      <c r="L983" s="6" t="s">
        <v>1332</v>
      </c>
    </row>
    <row r="984" spans="12:12" x14ac:dyDescent="0.2">
      <c r="L984" s="6" t="s">
        <v>473</v>
      </c>
    </row>
    <row r="985" spans="12:12" x14ac:dyDescent="0.2">
      <c r="L985" s="6" t="s">
        <v>1333</v>
      </c>
    </row>
    <row r="986" spans="12:12" x14ac:dyDescent="0.2">
      <c r="L986" s="6" t="s">
        <v>1334</v>
      </c>
    </row>
    <row r="987" spans="12:12" x14ac:dyDescent="0.2">
      <c r="L987" s="6" t="s">
        <v>1335</v>
      </c>
    </row>
    <row r="988" spans="12:12" x14ac:dyDescent="0.2">
      <c r="L988" s="6" t="s">
        <v>1336</v>
      </c>
    </row>
    <row r="989" spans="12:12" x14ac:dyDescent="0.2">
      <c r="L989" s="6" t="s">
        <v>474</v>
      </c>
    </row>
    <row r="990" spans="12:12" x14ac:dyDescent="0.2">
      <c r="L990" s="6" t="s">
        <v>1337</v>
      </c>
    </row>
    <row r="991" spans="12:12" x14ac:dyDescent="0.2">
      <c r="L991" s="6" t="s">
        <v>1338</v>
      </c>
    </row>
    <row r="992" spans="12:12" x14ac:dyDescent="0.2">
      <c r="L992" s="6" t="s">
        <v>475</v>
      </c>
    </row>
    <row r="993" spans="12:12" x14ac:dyDescent="0.2">
      <c r="L993" s="6" t="s">
        <v>1339</v>
      </c>
    </row>
    <row r="994" spans="12:12" x14ac:dyDescent="0.2">
      <c r="L994" s="6" t="s">
        <v>1340</v>
      </c>
    </row>
    <row r="995" spans="12:12" x14ac:dyDescent="0.2">
      <c r="L995" s="6" t="s">
        <v>476</v>
      </c>
    </row>
    <row r="996" spans="12:12" x14ac:dyDescent="0.2">
      <c r="L996" s="6" t="s">
        <v>1341</v>
      </c>
    </row>
    <row r="997" spans="12:12" x14ac:dyDescent="0.2">
      <c r="L997" s="6" t="s">
        <v>1342</v>
      </c>
    </row>
    <row r="998" spans="12:12" x14ac:dyDescent="0.2">
      <c r="L998" s="6" t="s">
        <v>1343</v>
      </c>
    </row>
    <row r="999" spans="12:12" x14ac:dyDescent="0.2">
      <c r="L999" s="6" t="s">
        <v>1344</v>
      </c>
    </row>
    <row r="1000" spans="12:12" x14ac:dyDescent="0.2">
      <c r="L1000" s="6" t="s">
        <v>1345</v>
      </c>
    </row>
    <row r="1001" spans="12:12" x14ac:dyDescent="0.2">
      <c r="L1001" s="6" t="s">
        <v>1346</v>
      </c>
    </row>
    <row r="1002" spans="12:12" x14ac:dyDescent="0.2">
      <c r="L1002" s="6" t="s">
        <v>1347</v>
      </c>
    </row>
    <row r="1003" spans="12:12" x14ac:dyDescent="0.2">
      <c r="L1003" s="6" t="s">
        <v>1348</v>
      </c>
    </row>
    <row r="1004" spans="12:12" x14ac:dyDescent="0.2">
      <c r="L1004" s="6" t="s">
        <v>1349</v>
      </c>
    </row>
    <row r="1005" spans="12:12" x14ac:dyDescent="0.2">
      <c r="L1005" s="6" t="s">
        <v>1350</v>
      </c>
    </row>
    <row r="1006" spans="12:12" x14ac:dyDescent="0.2">
      <c r="L1006" s="6" t="s">
        <v>1351</v>
      </c>
    </row>
    <row r="1007" spans="12:12" x14ac:dyDescent="0.2">
      <c r="L1007" s="6" t="s">
        <v>1352</v>
      </c>
    </row>
    <row r="1008" spans="12:12" x14ac:dyDescent="0.2">
      <c r="L1008" s="6" t="s">
        <v>1353</v>
      </c>
    </row>
    <row r="1009" spans="12:12" x14ac:dyDescent="0.2">
      <c r="L1009" s="6" t="s">
        <v>1354</v>
      </c>
    </row>
    <row r="1010" spans="12:12" x14ac:dyDescent="0.2">
      <c r="L1010" s="6" t="s">
        <v>1355</v>
      </c>
    </row>
    <row r="1011" spans="12:12" x14ac:dyDescent="0.2">
      <c r="L1011" s="6" t="s">
        <v>1356</v>
      </c>
    </row>
  </sheetData>
  <sheetProtection selectLockedCells="1"/>
  <pageMargins left="0.7" right="0.7" top="0.75" bottom="0.75" header="0.3" footer="0.3"/>
  <pageSetup orientation="portrait" horizontalDpi="300" verticalDpi="300" r:id="rId1"/>
  <tableParts count="33">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أوراق العمل</vt:lpstr>
      </vt:variant>
      <vt:variant>
        <vt:i4>5</vt:i4>
      </vt:variant>
      <vt:variant>
        <vt:lpstr>نطاقات تمت تسميتها</vt:lpstr>
      </vt:variant>
      <vt:variant>
        <vt:i4>34</vt:i4>
      </vt:variant>
    </vt:vector>
  </HeadingPairs>
  <TitlesOfParts>
    <vt:vector size="39" baseType="lpstr">
      <vt:lpstr>Form</vt:lpstr>
      <vt:lpstr>Outputs</vt:lpstr>
      <vt:lpstr>Definitions </vt:lpstr>
      <vt:lpstr>Suppliers</vt:lpstr>
      <vt:lpstr>values</vt:lpstr>
      <vt:lpstr>action_type</vt:lpstr>
      <vt:lpstr>activities</vt:lpstr>
      <vt:lpstr>activities_years_lookup</vt:lpstr>
      <vt:lpstr>agreement_type</vt:lpstr>
      <vt:lpstr>am_pm</vt:lpstr>
      <vt:lpstr>beneficiaries</vt:lpstr>
      <vt:lpstr>bids_opening_location</vt:lpstr>
      <vt:lpstr>construction_works</vt:lpstr>
      <vt:lpstr>countries</vt:lpstr>
      <vt:lpstr>day</vt:lpstr>
      <vt:lpstr>direct_purchase_committee</vt:lpstr>
      <vt:lpstr>documents</vt:lpstr>
      <vt:lpstr>execution_location</vt:lpstr>
      <vt:lpstr>floar_number</vt:lpstr>
      <vt:lpstr>hour</vt:lpstr>
      <vt:lpstr>initial_bank_guarantee</vt:lpstr>
      <vt:lpstr>invitation_type</vt:lpstr>
      <vt:lpstr>local_content_mechanism</vt:lpstr>
      <vt:lpstr>minute</vt:lpstr>
      <vt:lpstr>month</vt:lpstr>
      <vt:lpstr>operation_maintenance_works</vt:lpstr>
      <vt:lpstr>pre_qualification</vt:lpstr>
      <vt:lpstr>purchase_committee_members</vt:lpstr>
      <vt:lpstr>states</vt:lpstr>
      <vt:lpstr>technical_committee</vt:lpstr>
      <vt:lpstr>template_years</vt:lpstr>
      <vt:lpstr>tender_check_committee</vt:lpstr>
      <vt:lpstr>tender_opening_committee</vt:lpstr>
      <vt:lpstr>tender_submission_method</vt:lpstr>
      <vt:lpstr>tender_type</vt:lpstr>
      <vt:lpstr>tender_type_reason_direct</vt:lpstr>
      <vt:lpstr>tender_type_reason_limited</vt:lpstr>
      <vt:lpstr>year</vt:lpstr>
      <vt:lpstr>yes_no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2021-04-14T10:17:37Z</dcterms:modified>
</cp:coreProperties>
</file>